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600" windowHeight="11790" activeTab="3"/>
  </bookViews>
  <sheets>
    <sheet name="Index" sheetId="20" r:id="rId1"/>
    <sheet name="Discrepancy flow" sheetId="1" state="hidden" r:id="rId2"/>
    <sheet name="Stock planner report" sheetId="3" state="hidden" r:id="rId3"/>
    <sheet name="Stock planner on holiday" sheetId="24" r:id="rId4"/>
    <sheet name="Mass Penalty status change" sheetId="25" r:id="rId5"/>
    <sheet name="Auto email PO remnider" sheetId="26" r:id="rId6"/>
    <sheet name="Unexpected delivery to planner" sheetId="27" r:id="rId7"/>
    <sheet name="4a Description" sheetId="21" state="hidden" r:id="rId8"/>
    <sheet name="4b Search Criteria" sheetId="22" state="hidden" r:id="rId9"/>
    <sheet name="4c Inv Summary" sheetId="23" state="hidden" r:id="rId10"/>
  </sheets>
  <calcPr calcId="144525"/>
</workbook>
</file>

<file path=xl/sharedStrings.xml><?xml version="1.0" encoding="utf-8"?>
<sst xmlns="http://schemas.openxmlformats.org/spreadsheetml/2006/main" count="210">
  <si>
    <t>#</t>
  </si>
  <si>
    <t>Change</t>
  </si>
  <si>
    <t>Description</t>
  </si>
  <si>
    <t>Damco Quote</t>
  </si>
  <si>
    <t>Phase</t>
  </si>
  <si>
    <t>Stock planner holiday</t>
  </si>
  <si>
    <t>Mass Penalty change</t>
  </si>
  <si>
    <t>Auto email PO reminder</t>
  </si>
  <si>
    <t>Unexpected delivery mail to planner</t>
  </si>
  <si>
    <t>Discrepancy flow change -</t>
  </si>
  <si>
    <t xml:space="preserve">Returns </t>
  </si>
  <si>
    <t>Email to be sent</t>
  </si>
  <si>
    <t>Return goes to planner when this has failed</t>
  </si>
  <si>
    <t>They make the descion after speaking with vendor of collection or</t>
  </si>
  <si>
    <t>Discrepancy where the vendor hasn't collected</t>
  </si>
  <si>
    <t>Collection cancelled</t>
  </si>
  <si>
    <t>Stock planner automated report</t>
  </si>
  <si>
    <t>We would like a report that is circualted weekly to the supply planning manager and director about the discrepancy status which are open more than 14 days</t>
  </si>
  <si>
    <t>Options for this are to modify the a couple of current reports.</t>
  </si>
  <si>
    <t>VDR tracker 4 a</t>
  </si>
  <si>
    <t>New VDR tracker a</t>
  </si>
  <si>
    <t>Vendor Turnaround report</t>
  </si>
  <si>
    <t>Or a New report</t>
  </si>
  <si>
    <t>Stock planner on holiday screen</t>
  </si>
  <si>
    <t xml:space="preserve">We would like a new screen which will list all stock planners currently active on VIP. </t>
  </si>
  <si>
    <t>From this screen we can have the option for the stock planners to select a different stock planner that will be acting as their cover when on holiday</t>
  </si>
  <si>
    <t>The purpose of this is that any discrepancies raised will not only be sent to the correct stock planner, but also the planner acting as holiday cover so that the discrpancy can then be actioned</t>
  </si>
  <si>
    <t>Planner Name</t>
  </si>
  <si>
    <t>Absent</t>
  </si>
  <si>
    <t xml:space="preserve">Planner to cover </t>
  </si>
  <si>
    <t>Suzan Buffham</t>
  </si>
  <si>
    <t>Yes</t>
  </si>
  <si>
    <t>Hilroy</t>
  </si>
  <si>
    <t>Jamie</t>
  </si>
  <si>
    <t xml:space="preserve">No </t>
  </si>
  <si>
    <t>Click on planner name</t>
  </si>
  <si>
    <t>Moves to another screen</t>
  </si>
  <si>
    <t>Name of person - are they absent yes or no</t>
  </si>
  <si>
    <t>Which persons  is covering</t>
  </si>
  <si>
    <t>Planner name</t>
  </si>
  <si>
    <t>Suzan</t>
  </si>
  <si>
    <t>Date of return</t>
  </si>
  <si>
    <t>Select Planner for holiday cover</t>
  </si>
  <si>
    <t>Abhinav</t>
  </si>
  <si>
    <t>Anthony</t>
  </si>
  <si>
    <t>&gt;</t>
  </si>
  <si>
    <t>Simon</t>
  </si>
  <si>
    <t>Planner</t>
  </si>
  <si>
    <t>Patrick</t>
  </si>
  <si>
    <t>&lt;</t>
  </si>
  <si>
    <t>Save</t>
  </si>
  <si>
    <t>Stock Planner would then select the themseleves as not absent. The date of the return to work. Then select the planner(s) to cover in their absence</t>
  </si>
  <si>
    <t xml:space="preserve">NB When A discrepancy is raised against a vendor whos stock planner is holiday, the discrepancy is then sent to the stock planner that is selected as the holiday cover. </t>
  </si>
  <si>
    <t>Also the actual planner for the vendor who is on holiday is copied in on the mail.</t>
  </si>
  <si>
    <t>For example</t>
  </si>
  <si>
    <t>Hilroy is on holiday and has selected Suzan as the hoilday cover</t>
  </si>
  <si>
    <t>A discrepancy is raised against a vendor managed by Hilroy.</t>
  </si>
  <si>
    <t>VIP will send the discrepacncy to Suzan (holiday cover) and copy hilroy in.</t>
  </si>
  <si>
    <t>This would then mean that Suzan is aware of the discrepancy and this is not waiting for hilroy to answer who could be on holiday for 2 weeks.</t>
  </si>
  <si>
    <t>When Hilroy returns he would then switch of that he is on holiday (which would remove Suzan as the cover) and any new discrepancies raised against vendors managed by Hilroy will be sent to Hilroy only</t>
  </si>
  <si>
    <t>If the stock planner is absent they must enter the date that they are returning to work</t>
  </si>
  <si>
    <t>This would work like an out of office on a email. So when the date that the stock planner set as returning to work is reached the settings would be returned to normal</t>
  </si>
  <si>
    <t>Presentation Issue</t>
  </si>
  <si>
    <t>Paperwork Ammended</t>
  </si>
  <si>
    <t>We would like the option to select a range of penalties and have the ability to change the status of these to a different status on mass</t>
  </si>
  <si>
    <t>So if we had 20 penalties that were to be changed from vendor not replied mediator to accepted by meidator we can select each penalty to be changed and change all 20 with 1 click</t>
  </si>
  <si>
    <t>So we would like the option to select each penalty and have a button to update all at once</t>
  </si>
  <si>
    <t>NB for example we currently have the option to select and accept penalties pending with supply planner as per below</t>
  </si>
  <si>
    <t>So the option to change a range of penalties from one status to another should be available on all penalty statuses</t>
  </si>
  <si>
    <t>So vendor not replied by mediator select as per above and change to accepted by mediator</t>
  </si>
  <si>
    <t>In dispute with mediator changed to declined by mediator</t>
  </si>
  <si>
    <t>When a vendor hasn’t made a bookings slot 48 hours prior (till 13:00 2 working days before the requested delivery day) to the delivery</t>
  </si>
  <si>
    <t>The planner can run the Open Purchase Order Overview and see which PO’s don’t have an booking slot.</t>
  </si>
  <si>
    <t>This is an time consuming task that depends on the prioritization of the planner.</t>
  </si>
  <si>
    <t xml:space="preserve">So we would like VIP to send out an automated e-mail to the vendor if they haven’t made a booking slot 4 hours before the closure of the requested Due Date. </t>
  </si>
  <si>
    <t>Then the vendor who haven’t got the booking slot will have a reminder that they still have 4 hours to make a booking in VIP.</t>
  </si>
  <si>
    <t>In VIP the planner can select if they want to be in CC of this e-mail yes/no.</t>
  </si>
  <si>
    <t>The module needs to look to the following criteria when it runs at 9:00 local time:</t>
  </si>
  <si>
    <t>1.       Due date of PO is 2 working days later</t>
  </si>
  <si>
    <t>2.       PO hasn’t got any booking slot</t>
  </si>
  <si>
    <t>3.       VIP send out an e-mail to the inventory contact of the vendor.</t>
  </si>
  <si>
    <t>The planner can determine themselves if they want to be in CC of the e-mail.</t>
  </si>
  <si>
    <t>1. Vendor Letter</t>
  </si>
  <si>
    <t>Subject - Purchase orders due not booked</t>
  </si>
  <si>
    <t>VENDOR NUMBER AND NAME</t>
  </si>
  <si>
    <t>Dear vendor</t>
  </si>
  <si>
    <t>With this e-mail we would like to inform you that from the following Purchase Order(s) which are due for Due Date have according to our details no bookings slot.</t>
  </si>
  <si>
    <t>PO number(s)</t>
  </si>
  <si>
    <t>You have the possibility till today 13:00 to make a booking slot for this PO in VIP.</t>
  </si>
  <si>
    <t>Not making a booking slot can result in a late delivery which will affect the delivery performance negative.</t>
  </si>
  <si>
    <t>If there is no slot available for the asked Due date please book a slot before today 13:00 on the first available date. Then these Purchase Orders will be excluded from your delivery performance.</t>
  </si>
  <si>
    <t>If you have already made a booking slot then please ignore this e-mail</t>
  </si>
  <si>
    <t>With kind regards,</t>
  </si>
  <si>
    <t>On the auto email report a section is to be added for the option for the planner to be copied in on the mail</t>
  </si>
  <si>
    <t xml:space="preserve">        Select</t>
  </si>
  <si>
    <t>Country</t>
  </si>
  <si>
    <t>Vendor Number</t>
  </si>
  <si>
    <t>Vendor Name</t>
  </si>
  <si>
    <t>Auto Email?</t>
  </si>
  <si>
    <t>Planner to receive a mail</t>
  </si>
  <si>
    <t>UK &amp; IRE</t>
  </si>
  <si>
    <t>012</t>
  </si>
  <si>
    <t>CPD</t>
  </si>
  <si>
    <t>Y</t>
  </si>
  <si>
    <t>Really Useful</t>
  </si>
  <si>
    <t>N</t>
  </si>
  <si>
    <t>025</t>
  </si>
  <si>
    <t>Acco</t>
  </si>
  <si>
    <t>AUTO EMAIL</t>
  </si>
  <si>
    <t>DO NOT AUTO EMAIL</t>
  </si>
  <si>
    <t>When a unexpected delivery arrives a mail is sent to the vendor to inform of the delivery.</t>
  </si>
  <si>
    <t>We would now like to have a mail sent to the planners to make them aware also</t>
  </si>
  <si>
    <t>1. Planner Letter</t>
  </si>
  <si>
    <t>Subject - Unexpected booking</t>
  </si>
  <si>
    <t>Hi,</t>
  </si>
  <si>
    <t>This is to infom you that there has been an unexpected delivery that has arrived today for the above vendor</t>
  </si>
  <si>
    <t>On this occasion the delivery was accepted</t>
  </si>
  <si>
    <t>Date</t>
  </si>
  <si>
    <t>Time</t>
  </si>
  <si>
    <t>Site</t>
  </si>
  <si>
    <t>Carrier</t>
  </si>
  <si>
    <t>Pallets</t>
  </si>
  <si>
    <t>Cartons</t>
  </si>
  <si>
    <t>PO #</t>
  </si>
  <si>
    <t>Kind Regards</t>
  </si>
  <si>
    <t>VIP Admin</t>
  </si>
  <si>
    <t>The above letter to be triggered to all of the stock planners linked to the bookings at the point the issue is logged.</t>
  </si>
  <si>
    <t>Example, delivery may contain multiple PO's. Each line of the PO's to be checked to see which planners should be emailed. (Carrier delivery)</t>
  </si>
  <si>
    <t>New VDR Tracker Report</t>
  </si>
  <si>
    <t>The current discrepancy tracking reports need updating to make it simpler to show the various departments how they are performing. This new report will be similar to current VDR Tracker but with a few tweaks</t>
  </si>
  <si>
    <t>Firstly, we will only have two types of reports -</t>
  </si>
  <si>
    <t>Summary Reports</t>
  </si>
  <si>
    <t>Detail Reports</t>
  </si>
  <si>
    <t xml:space="preserve">In the Search Criteria screeen, user selects either summary or detail report. If they select Summary, additional search box to show with a list of the summary types below (in bold). </t>
  </si>
  <si>
    <t>Once user has selected their type, they will then have a number of report types, see following tabs</t>
  </si>
  <si>
    <t>Summaries</t>
  </si>
  <si>
    <t>Inventory Summary</t>
  </si>
  <si>
    <t>By Inventory Category or Planner per site</t>
  </si>
  <si>
    <t>By Inventory Category or Planner per discrepancy type</t>
  </si>
  <si>
    <t>By Inventory Category or Planner per discrepancy status</t>
  </si>
  <si>
    <t>Accounts Payable Summary</t>
  </si>
  <si>
    <t>By AP Clerk or Planner per site</t>
  </si>
  <si>
    <t>By AP Clerk per discrepancy type</t>
  </si>
  <si>
    <t>By AP Clerk per discrepancy status</t>
  </si>
  <si>
    <t>Site Summary</t>
  </si>
  <si>
    <t>Type per site</t>
  </si>
  <si>
    <t>Department Open With per site</t>
  </si>
  <si>
    <t>Discrepancy Status per site</t>
  </si>
  <si>
    <t>Vendor Summary</t>
  </si>
  <si>
    <t>Detail</t>
  </si>
  <si>
    <t xml:space="preserve">By Site </t>
  </si>
  <si>
    <t>Per Type</t>
  </si>
  <si>
    <t>Per Deparment</t>
  </si>
  <si>
    <t>Per Discrep/Days</t>
  </si>
  <si>
    <t xml:space="preserve">By User </t>
  </si>
  <si>
    <t>By Type</t>
  </si>
  <si>
    <t>By Site</t>
  </si>
  <si>
    <t>By Department</t>
  </si>
  <si>
    <t>By Vendor</t>
  </si>
  <si>
    <t>Report</t>
  </si>
  <si>
    <t>Search Stock Planner</t>
  </si>
  <si>
    <t>Search Vendor</t>
  </si>
  <si>
    <t>Vendor</t>
  </si>
  <si>
    <t>Accounts</t>
  </si>
  <si>
    <t>Payable</t>
  </si>
  <si>
    <t>Stock Planner Summary</t>
  </si>
  <si>
    <t>See below for the various report variations for Inventory. Also, the Stock Planner reports to have a link per planner to the reports in 4g</t>
  </si>
  <si>
    <t>By Planner/Site - Shows how many discrepancies per warehouse there is. If open status selected, shows how many each planner has pending</t>
  </si>
  <si>
    <t>Date From</t>
  </si>
  <si>
    <t>Date To</t>
  </si>
  <si>
    <t>Discrepancy Status</t>
  </si>
  <si>
    <t>All</t>
  </si>
  <si>
    <t>Report Type</t>
  </si>
  <si>
    <t>By User/Site</t>
  </si>
  <si>
    <t>Name</t>
  </si>
  <si>
    <t>Inventory Cat</t>
  </si>
  <si>
    <t>Total</t>
  </si>
  <si>
    <t>Ashton</t>
  </si>
  <si>
    <t>Dublin</t>
  </si>
  <si>
    <t>Grossostheim</t>
  </si>
  <si>
    <t>MSL</t>
  </si>
  <si>
    <t>SMC</t>
  </si>
  <si>
    <t>Siziano</t>
  </si>
  <si>
    <t>Zwolle</t>
  </si>
  <si>
    <t>etc</t>
  </si>
  <si>
    <t>Julie Holt</t>
  </si>
  <si>
    <t>Cat 3</t>
  </si>
  <si>
    <t>Jamie Haworth</t>
  </si>
  <si>
    <t>Jamie McIntosh</t>
  </si>
  <si>
    <t>By Planner/Type - Shows how many discrepancies per type we have connected to each planner</t>
  </si>
  <si>
    <t>Overs</t>
  </si>
  <si>
    <t>Shortage</t>
  </si>
  <si>
    <t>Damaged</t>
  </si>
  <si>
    <t xml:space="preserve">No PO </t>
  </si>
  <si>
    <t>No PW</t>
  </si>
  <si>
    <t>Inc Prod</t>
  </si>
  <si>
    <t>Presentation</t>
  </si>
  <si>
    <t>By Planner - Shows how many discrepancies per status we have for each planner</t>
  </si>
  <si>
    <t>By User</t>
  </si>
  <si>
    <t>Open</t>
  </si>
  <si>
    <t>Open &gt; 3 Days</t>
  </si>
  <si>
    <t>Closed</t>
  </si>
  <si>
    <t>By Category/Site - Shows how many discrepancies per warehouse has been created for each Inventory Group</t>
  </si>
  <si>
    <t>By Cat/Site</t>
  </si>
  <si>
    <t>Cat 1</t>
  </si>
  <si>
    <t>Cat 2</t>
  </si>
  <si>
    <t>France</t>
  </si>
  <si>
    <t>By Category/Disc Type - Shows how many discrepancies of each type there is for each category</t>
  </si>
  <si>
    <t>By Planner/Open Discreps - Shows how many discrepancies there are for each status plus column to show which have actions open greater than 3 days</t>
  </si>
  <si>
    <t>By Category</t>
  </si>
</sst>
</file>

<file path=xl/styles.xml><?xml version="1.0" encoding="utf-8"?>
<styleSheet xmlns="http://schemas.openxmlformats.org/spreadsheetml/2006/main">
  <numFmts count="6">
    <numFmt numFmtId="176" formatCode="_ * #,##0_ ;_ * \-#,##0_ ;_ * &quot;-&quot;_ ;_ @_ "/>
    <numFmt numFmtId="177" formatCode="_ * #,##0.00_ ;_ * \-#,##0.00_ ;_ * &quot;-&quot;??_ ;_ @_ "/>
    <numFmt numFmtId="178" formatCode="dd/mm/yyyy"/>
    <numFmt numFmtId="179" formatCode="[$-809]General"/>
    <numFmt numFmtId="180" formatCode="_ &quot;₹&quot;\ * #,##0_ ;_ &quot;₹&quot;\ * \-#,##0_ ;_ &quot;₹&quot;\ * &quot;-&quot;_ ;_ @_ "/>
    <numFmt numFmtId="181" formatCode="_ &quot;₹&quot;\ * #,##0.00_ ;_ &quot;₹&quot;\ * \-#,##0.00_ ;_ &quot;₹&quot;\ * &quot;-&quot;??_ ;_ @_ "/>
  </numFmts>
  <fonts count="35">
    <font>
      <sz val="11"/>
      <color theme="1"/>
      <name val="Calibri"/>
      <charset val="134"/>
      <scheme val="minor"/>
    </font>
    <font>
      <b/>
      <sz val="9"/>
      <color theme="1"/>
      <name val="Calibri"/>
      <charset val="134"/>
      <scheme val="minor"/>
    </font>
    <font>
      <sz val="9"/>
      <color theme="1"/>
      <name val="Calibri"/>
      <charset val="134"/>
      <scheme val="minor"/>
    </font>
    <font>
      <b/>
      <sz val="14"/>
      <color theme="1"/>
      <name val="Calibri"/>
      <charset val="134"/>
      <scheme val="minor"/>
    </font>
    <font>
      <sz val="9"/>
      <color theme="0" tint="-0.499984740745262"/>
      <name val="Calibri"/>
      <charset val="134"/>
      <scheme val="minor"/>
    </font>
    <font>
      <b/>
      <sz val="9"/>
      <color rgb="FFC00000"/>
      <name val="Calibri"/>
      <charset val="134"/>
      <scheme val="minor"/>
    </font>
    <font>
      <u/>
      <sz val="9"/>
      <color theme="8" tint="-0.249977111117893"/>
      <name val="Calibri"/>
      <charset val="134"/>
      <scheme val="minor"/>
    </font>
    <font>
      <sz val="9"/>
      <color rgb="FFFF0000"/>
      <name val="Calibri"/>
      <charset val="134"/>
      <scheme val="minor"/>
    </font>
    <font>
      <b/>
      <sz val="11"/>
      <color theme="1"/>
      <name val="Calibri"/>
      <charset val="134"/>
      <scheme val="minor"/>
    </font>
    <font>
      <sz val="11"/>
      <color rgb="FFFF0000"/>
      <name val="Calibri"/>
      <charset val="134"/>
      <scheme val="minor"/>
    </font>
    <font>
      <b/>
      <sz val="9"/>
      <color rgb="FFC00000"/>
      <name val="Calibri"/>
      <charset val="134"/>
    </font>
    <font>
      <sz val="11"/>
      <color rgb="FF000000"/>
      <name val="Calibri"/>
      <charset val="134"/>
    </font>
    <font>
      <sz val="9"/>
      <color rgb="FF000000"/>
      <name val="Calibri"/>
      <charset val="134"/>
    </font>
    <font>
      <b/>
      <sz val="11"/>
      <color rgb="FFFF0000"/>
      <name val="Calibri"/>
      <charset val="134"/>
      <scheme val="minor"/>
    </font>
    <font>
      <u/>
      <sz val="11"/>
      <color theme="1"/>
      <name val="Calibri"/>
      <charset val="134"/>
      <scheme val="minor"/>
    </font>
    <font>
      <sz val="11"/>
      <color rgb="FF7030A0"/>
      <name val="Calibri"/>
      <charset val="134"/>
      <scheme val="minor"/>
    </font>
    <font>
      <b/>
      <sz val="13"/>
      <color theme="3"/>
      <name val="Calibri"/>
      <charset val="134"/>
      <scheme val="minor"/>
    </font>
    <font>
      <b/>
      <sz val="11"/>
      <color theme="3"/>
      <name val="Calibri"/>
      <charset val="134"/>
      <scheme val="minor"/>
    </font>
    <font>
      <sz val="11"/>
      <color rgb="FFFF0000"/>
      <name val="Calibri"/>
      <charset val="0"/>
      <scheme val="minor"/>
    </font>
    <font>
      <b/>
      <sz val="11"/>
      <color rgb="FFFFFFFF"/>
      <name val="Calibri"/>
      <charset val="0"/>
      <scheme val="minor"/>
    </font>
    <font>
      <b/>
      <sz val="11"/>
      <color rgb="FF3F3F3F"/>
      <name val="Calibri"/>
      <charset val="0"/>
      <scheme val="minor"/>
    </font>
    <font>
      <u/>
      <sz val="11"/>
      <color rgb="FF800080"/>
      <name val="Calibri"/>
      <charset val="0"/>
      <scheme val="minor"/>
    </font>
    <font>
      <i/>
      <sz val="11"/>
      <color rgb="FF7F7F7F"/>
      <name val="Calibri"/>
      <charset val="0"/>
      <scheme val="minor"/>
    </font>
    <font>
      <b/>
      <sz val="18"/>
      <color theme="3"/>
      <name val="Calibri"/>
      <charset val="134"/>
      <scheme val="minor"/>
    </font>
    <font>
      <sz val="11"/>
      <color theme="1"/>
      <name val="Calibri"/>
      <charset val="0"/>
      <scheme val="minor"/>
    </font>
    <font>
      <b/>
      <sz val="11"/>
      <color rgb="FFFA7D00"/>
      <name val="Calibri"/>
      <charset val="0"/>
      <scheme val="minor"/>
    </font>
    <font>
      <u/>
      <sz val="11"/>
      <color rgb="FF0000FF"/>
      <name val="Calibri"/>
      <charset val="0"/>
      <scheme val="minor"/>
    </font>
    <font>
      <sz val="11"/>
      <color theme="0"/>
      <name val="Calibri"/>
      <charset val="0"/>
      <scheme val="minor"/>
    </font>
    <font>
      <sz val="11"/>
      <color rgb="FFFA7D00"/>
      <name val="Calibri"/>
      <charset val="0"/>
      <scheme val="minor"/>
    </font>
    <font>
      <sz val="11"/>
      <color rgb="FF3F3F76"/>
      <name val="Calibri"/>
      <charset val="0"/>
      <scheme val="minor"/>
    </font>
    <font>
      <b/>
      <sz val="15"/>
      <color theme="3"/>
      <name val="Calibri"/>
      <charset val="134"/>
      <scheme val="minor"/>
    </font>
    <font>
      <sz val="11"/>
      <color rgb="FF006100"/>
      <name val="Calibri"/>
      <charset val="0"/>
      <scheme val="minor"/>
    </font>
    <font>
      <sz val="11"/>
      <color rgb="FF9C6500"/>
      <name val="Calibri"/>
      <charset val="0"/>
      <scheme val="minor"/>
    </font>
    <font>
      <sz val="11"/>
      <color rgb="FF9C0006"/>
      <name val="Calibri"/>
      <charset val="0"/>
      <scheme val="minor"/>
    </font>
    <font>
      <b/>
      <sz val="11"/>
      <color theme="1"/>
      <name val="Calibri"/>
      <charset val="0"/>
      <scheme val="minor"/>
    </font>
  </fonts>
  <fills count="37">
    <fill>
      <patternFill patternType="none"/>
    </fill>
    <fill>
      <patternFill patternType="gray125"/>
    </fill>
    <fill>
      <patternFill patternType="solid">
        <fgColor theme="5" tint="0.799981688894314"/>
        <bgColor indexed="64"/>
      </patternFill>
    </fill>
    <fill>
      <patternFill patternType="solid">
        <fgColor rgb="FFFBE5D6"/>
        <bgColor rgb="FFFBE5D6"/>
      </patternFill>
    </fill>
    <fill>
      <patternFill patternType="solid">
        <fgColor rgb="FFF2F2F2"/>
        <bgColor rgb="FFF2F2F2"/>
      </patternFill>
    </fill>
    <fill>
      <patternFill patternType="solid">
        <fgColor rgb="FFFFFF00"/>
        <bgColor indexed="64"/>
      </patternFill>
    </fill>
    <fill>
      <patternFill patternType="solid">
        <fgColor theme="0"/>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rgb="FFFFCC99"/>
        <bgColor indexed="64"/>
      </patternFill>
    </fill>
    <fill>
      <patternFill patternType="solid">
        <fgColor theme="5"/>
        <bgColor indexed="64"/>
      </patternFill>
    </fill>
    <fill>
      <patternFill patternType="solid">
        <fgColor rgb="FFC6EFCE"/>
        <bgColor indexed="64"/>
      </patternFill>
    </fill>
    <fill>
      <patternFill patternType="solid">
        <fgColor theme="6" tint="0.399975585192419"/>
        <bgColor indexed="64"/>
      </patternFill>
    </fill>
    <fill>
      <patternFill patternType="solid">
        <fgColor rgb="FFFFEB9C"/>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top/>
      <bottom/>
      <diagonal/>
    </border>
    <border>
      <left style="thin">
        <color theme="0" tint="-0.349986266670736"/>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top style="thin">
        <color theme="0" tint="-0.349986266670736"/>
      </top>
      <bottom/>
      <diagonal/>
    </border>
    <border>
      <left/>
      <right/>
      <top style="thin">
        <color theme="0" tint="-0.349986266670736"/>
      </top>
      <bottom/>
      <diagonal/>
    </border>
    <border>
      <left/>
      <right style="thin">
        <color theme="0" tint="-0.349986266670736"/>
      </right>
      <top style="thin">
        <color theme="0" tint="-0.349986266670736"/>
      </top>
      <bottom/>
      <diagonal/>
    </border>
    <border>
      <left style="thin">
        <color theme="0" tint="-0.349986266670736"/>
      </left>
      <right style="thin">
        <color theme="0" tint="-0.349986266670736"/>
      </right>
      <top style="thin">
        <color theme="0" tint="-0.349986266670736"/>
      </top>
      <bottom/>
      <diagonal/>
    </border>
    <border>
      <left/>
      <right style="thin">
        <color theme="0" tint="-0.349986266670736"/>
      </right>
      <top/>
      <bottom/>
      <diagonal/>
    </border>
    <border>
      <left style="thin">
        <color rgb="FFC00000"/>
      </left>
      <right style="thin">
        <color rgb="FFC00000"/>
      </right>
      <top style="thin">
        <color rgb="FFC00000"/>
      </top>
      <bottom style="thin">
        <color rgb="FFC00000"/>
      </bottom>
      <diagonal/>
    </border>
    <border>
      <left style="thin">
        <color theme="0" tint="-0.349986266670736"/>
      </left>
      <right style="thin">
        <color theme="0" tint="-0.349986266670736"/>
      </right>
      <top/>
      <bottom/>
      <diagonal/>
    </border>
    <border>
      <left style="thin">
        <color theme="0" tint="-0.349986266670736"/>
      </left>
      <right/>
      <top/>
      <bottom style="thin">
        <color theme="0" tint="-0.349986266670736"/>
      </bottom>
      <diagonal/>
    </border>
    <border>
      <left/>
      <right/>
      <top/>
      <bottom style="thin">
        <color theme="0" tint="-0.349986266670736"/>
      </bottom>
      <diagonal/>
    </border>
    <border>
      <left/>
      <right style="thin">
        <color theme="0" tint="-0.349986266670736"/>
      </right>
      <top/>
      <bottom style="thin">
        <color theme="0" tint="-0.349986266670736"/>
      </bottom>
      <diagonal/>
    </border>
    <border>
      <left style="thin">
        <color theme="0" tint="-0.349986266670736"/>
      </left>
      <right style="thin">
        <color theme="0" tint="-0.349986266670736"/>
      </right>
      <top/>
      <bottom style="thin">
        <color theme="0" tint="-0.349986266670736"/>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0" fontId="24" fillId="12"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180" fontId="0" fillId="0" borderId="0" applyFont="0" applyFill="0" applyBorder="0" applyAlignment="0" applyProtection="0">
      <alignment vertical="center"/>
    </xf>
    <xf numFmtId="181" fontId="0" fillId="0" borderId="0" applyFont="0" applyFill="0" applyBorder="0" applyAlignment="0" applyProtection="0">
      <alignment vertical="center"/>
    </xf>
    <xf numFmtId="9" fontId="0" fillId="0" borderId="0" applyFont="0" applyFill="0" applyBorder="0" applyAlignment="0" applyProtection="0">
      <alignment vertical="center"/>
    </xf>
    <xf numFmtId="0" fontId="19" fillId="7" borderId="26" applyNumberFormat="0" applyAlignment="0" applyProtection="0">
      <alignment vertical="center"/>
    </xf>
    <xf numFmtId="0" fontId="16" fillId="0" borderId="25" applyNumberFormat="0" applyFill="0" applyAlignment="0" applyProtection="0">
      <alignment vertical="center"/>
    </xf>
    <xf numFmtId="0" fontId="0" fillId="9" borderId="28" applyNumberFormat="0" applyFont="0" applyAlignment="0" applyProtection="0">
      <alignment vertical="center"/>
    </xf>
    <xf numFmtId="0" fontId="26" fillId="0" borderId="0" applyNumberFormat="0" applyFill="0" applyBorder="0" applyAlignment="0" applyProtection="0">
      <alignment vertical="center"/>
    </xf>
    <xf numFmtId="0" fontId="27" fillId="15" borderId="0" applyNumberFormat="0" applyBorder="0" applyAlignment="0" applyProtection="0">
      <alignment vertical="center"/>
    </xf>
    <xf numFmtId="0" fontId="21" fillId="0" borderId="0" applyNumberFormat="0" applyFill="0" applyBorder="0" applyAlignment="0" applyProtection="0">
      <alignment vertical="center"/>
    </xf>
    <xf numFmtId="0" fontId="24" fillId="17" borderId="0" applyNumberFormat="0" applyBorder="0" applyAlignment="0" applyProtection="0">
      <alignment vertical="center"/>
    </xf>
    <xf numFmtId="0" fontId="18" fillId="0" borderId="0" applyNumberFormat="0" applyFill="0" applyBorder="0" applyAlignment="0" applyProtection="0">
      <alignment vertical="center"/>
    </xf>
    <xf numFmtId="0" fontId="24" fillId="11" borderId="0" applyNumberFormat="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30" fillId="0" borderId="25" applyNumberFormat="0" applyFill="0" applyAlignment="0" applyProtection="0">
      <alignment vertical="center"/>
    </xf>
    <xf numFmtId="0" fontId="17" fillId="0" borderId="30" applyNumberFormat="0" applyFill="0" applyAlignment="0" applyProtection="0">
      <alignment vertical="center"/>
    </xf>
    <xf numFmtId="0" fontId="17" fillId="0" borderId="0" applyNumberFormat="0" applyFill="0" applyBorder="0" applyAlignment="0" applyProtection="0">
      <alignment vertical="center"/>
    </xf>
    <xf numFmtId="0" fontId="29" fillId="18" borderId="29" applyNumberFormat="0" applyAlignment="0" applyProtection="0">
      <alignment vertical="center"/>
    </xf>
    <xf numFmtId="0" fontId="27" fillId="21" borderId="0" applyNumberFormat="0" applyBorder="0" applyAlignment="0" applyProtection="0">
      <alignment vertical="center"/>
    </xf>
    <xf numFmtId="0" fontId="31" fillId="20" borderId="0" applyNumberFormat="0" applyBorder="0" applyAlignment="0" applyProtection="0">
      <alignment vertical="center"/>
    </xf>
    <xf numFmtId="0" fontId="20" fillId="8" borderId="27" applyNumberFormat="0" applyAlignment="0" applyProtection="0">
      <alignment vertical="center"/>
    </xf>
    <xf numFmtId="0" fontId="24" fillId="23" borderId="0" applyNumberFormat="0" applyBorder="0" applyAlignment="0" applyProtection="0">
      <alignment vertical="center"/>
    </xf>
    <xf numFmtId="0" fontId="25" fillId="8" borderId="29" applyNumberFormat="0" applyAlignment="0" applyProtection="0">
      <alignment vertical="center"/>
    </xf>
    <xf numFmtId="0" fontId="28" fillId="0" borderId="31" applyNumberFormat="0" applyFill="0" applyAlignment="0" applyProtection="0">
      <alignment vertical="center"/>
    </xf>
    <xf numFmtId="0" fontId="34" fillId="0" borderId="32" applyNumberFormat="0" applyFill="0" applyAlignment="0" applyProtection="0">
      <alignment vertical="center"/>
    </xf>
    <xf numFmtId="0" fontId="33" fillId="25" borderId="0" applyNumberFormat="0" applyBorder="0" applyAlignment="0" applyProtection="0">
      <alignment vertical="center"/>
    </xf>
    <xf numFmtId="0" fontId="32" fillId="22" borderId="0" applyNumberFormat="0" applyBorder="0" applyAlignment="0" applyProtection="0">
      <alignment vertical="center"/>
    </xf>
    <xf numFmtId="0" fontId="27" fillId="28" borderId="0" applyNumberFormat="0" applyBorder="0" applyAlignment="0" applyProtection="0">
      <alignment vertical="center"/>
    </xf>
    <xf numFmtId="0" fontId="24" fillId="10" borderId="0" applyNumberFormat="0" applyBorder="0" applyAlignment="0" applyProtection="0">
      <alignment vertical="center"/>
    </xf>
    <xf numFmtId="0" fontId="27" fillId="31" borderId="0" applyNumberFormat="0" applyBorder="0" applyAlignment="0" applyProtection="0">
      <alignment vertical="center"/>
    </xf>
    <xf numFmtId="0" fontId="27" fillId="19" borderId="0" applyNumberFormat="0" applyBorder="0" applyAlignment="0" applyProtection="0">
      <alignment vertical="center"/>
    </xf>
    <xf numFmtId="0" fontId="24" fillId="2" borderId="0" applyNumberFormat="0" applyBorder="0" applyAlignment="0" applyProtection="0">
      <alignment vertical="center"/>
    </xf>
    <xf numFmtId="0" fontId="24" fillId="33" borderId="0" applyNumberFormat="0" applyBorder="0" applyAlignment="0" applyProtection="0">
      <alignment vertical="center"/>
    </xf>
    <xf numFmtId="0" fontId="27" fillId="30" borderId="0" applyNumberFormat="0" applyBorder="0" applyAlignment="0" applyProtection="0">
      <alignment vertical="center"/>
    </xf>
    <xf numFmtId="0" fontId="27" fillId="14" borderId="0" applyNumberFormat="0" applyBorder="0" applyAlignment="0" applyProtection="0">
      <alignment vertical="center"/>
    </xf>
    <xf numFmtId="0" fontId="24" fillId="24" borderId="0" applyNumberFormat="0" applyBorder="0" applyAlignment="0" applyProtection="0">
      <alignment vertical="center"/>
    </xf>
    <xf numFmtId="0" fontId="27" fillId="27" borderId="0" applyNumberFormat="0" applyBorder="0" applyAlignment="0" applyProtection="0">
      <alignment vertical="center"/>
    </xf>
    <xf numFmtId="0" fontId="24" fillId="13" borderId="0" applyNumberFormat="0" applyBorder="0" applyAlignment="0" applyProtection="0">
      <alignment vertical="center"/>
    </xf>
    <xf numFmtId="0" fontId="24" fillId="16" borderId="0" applyNumberFormat="0" applyBorder="0" applyAlignment="0" applyProtection="0">
      <alignment vertical="center"/>
    </xf>
    <xf numFmtId="0" fontId="27" fillId="26" borderId="0" applyNumberFormat="0" applyBorder="0" applyAlignment="0" applyProtection="0">
      <alignment vertical="center"/>
    </xf>
    <xf numFmtId="0" fontId="24" fillId="29" borderId="0" applyNumberFormat="0" applyBorder="0" applyAlignment="0" applyProtection="0">
      <alignment vertical="center"/>
    </xf>
    <xf numFmtId="0" fontId="27" fillId="32" borderId="0" applyNumberFormat="0" applyBorder="0" applyAlignment="0" applyProtection="0">
      <alignment vertical="center"/>
    </xf>
    <xf numFmtId="0" fontId="27" fillId="34" borderId="0" applyNumberFormat="0" applyBorder="0" applyAlignment="0" applyProtection="0">
      <alignment vertical="center"/>
    </xf>
    <xf numFmtId="0" fontId="24" fillId="35" borderId="0" applyNumberFormat="0" applyBorder="0" applyAlignment="0" applyProtection="0">
      <alignment vertical="center"/>
    </xf>
    <xf numFmtId="0" fontId="27" fillId="36" borderId="0" applyNumberFormat="0" applyBorder="0" applyAlignment="0" applyProtection="0">
      <alignment vertical="center"/>
    </xf>
    <xf numFmtId="179" fontId="11" fillId="0" borderId="0"/>
  </cellStyleXfs>
  <cellXfs count="65">
    <xf numFmtId="0" fontId="0" fillId="0" borderId="0" xfId="0"/>
    <xf numFmtId="0" fontId="1" fillId="0" borderId="0" xfId="0" applyFont="1"/>
    <xf numFmtId="0" fontId="2" fillId="0" borderId="0" xfId="0" applyFont="1" applyAlignment="1">
      <alignment vertical="center"/>
    </xf>
    <xf numFmtId="0" fontId="2" fillId="0" borderId="0" xfId="0" applyFont="1"/>
    <xf numFmtId="0" fontId="3" fillId="0" borderId="0" xfId="0" applyFont="1"/>
    <xf numFmtId="0" fontId="4" fillId="0" borderId="0" xfId="0" applyFont="1" applyAlignment="1">
      <alignment vertical="center"/>
    </xf>
    <xf numFmtId="178" fontId="4" fillId="0" borderId="1" xfId="0" applyNumberFormat="1" applyFont="1" applyBorder="1" applyAlignment="1">
      <alignment horizontal="center" vertical="center"/>
    </xf>
    <xf numFmtId="0" fontId="4" fillId="0" borderId="0" xfId="0" applyFont="1" applyAlignment="1">
      <alignment horizontal="right" vertical="center"/>
    </xf>
    <xf numFmtId="0" fontId="4" fillId="0" borderId="2"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5" fillId="2" borderId="0" xfId="0" applyFont="1" applyFill="1" applyAlignment="1">
      <alignment horizontal="center"/>
    </xf>
    <xf numFmtId="0" fontId="6" fillId="0" borderId="0" xfId="0" applyFont="1" applyAlignment="1">
      <alignment horizontal="center"/>
    </xf>
    <xf numFmtId="0" fontId="2" fillId="0" borderId="0" xfId="0" applyFont="1" applyAlignment="1">
      <alignment horizont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0" xfId="0" applyFont="1" applyAlignment="1">
      <alignment horizontal="left"/>
    </xf>
    <xf numFmtId="0" fontId="2" fillId="0" borderId="1" xfId="0" applyFont="1" applyBorder="1" applyAlignment="1">
      <alignment horizontal="center"/>
    </xf>
    <xf numFmtId="0" fontId="2" fillId="0" borderId="0" xfId="0" applyFont="1" applyBorder="1" applyAlignment="1">
      <alignment horizontal="center"/>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2" xfId="0" applyFont="1" applyBorder="1"/>
    <xf numFmtId="0" fontId="2" fillId="0" borderId="0" xfId="0" applyFont="1" applyBorder="1"/>
    <xf numFmtId="0" fontId="2" fillId="0" borderId="9" xfId="0" applyFont="1" applyBorder="1"/>
    <xf numFmtId="2" fontId="7" fillId="2" borderId="10" xfId="0" applyNumberFormat="1" applyFont="1" applyFill="1" applyBorder="1" applyAlignment="1">
      <alignment horizontal="center" vertical="center"/>
    </xf>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 xfId="0" applyFont="1" applyBorder="1"/>
    <xf numFmtId="0" fontId="5" fillId="2" borderId="10" xfId="0" applyFont="1" applyFill="1" applyBorder="1" applyAlignment="1">
      <alignment horizontal="center"/>
    </xf>
    <xf numFmtId="0" fontId="8" fillId="0" borderId="0" xfId="0" applyFont="1"/>
    <xf numFmtId="0" fontId="0" fillId="0" borderId="0" xfId="0" applyAlignment="1">
      <alignment vertical="center"/>
    </xf>
    <xf numFmtId="0" fontId="9" fillId="0" borderId="0" xfId="0" applyFont="1"/>
    <xf numFmtId="179" fontId="10" fillId="3" borderId="0" xfId="49" applyFont="1" applyFill="1"/>
    <xf numFmtId="179" fontId="10" fillId="3" borderId="0" xfId="49" applyFont="1" applyFill="1" applyAlignment="1"/>
    <xf numFmtId="179" fontId="11" fillId="0" borderId="0" xfId="49"/>
    <xf numFmtId="179" fontId="12" fillId="0" borderId="0" xfId="49" applyFont="1" applyAlignment="1">
      <alignment horizontal="left"/>
    </xf>
    <xf numFmtId="179" fontId="11" fillId="4" borderId="0" xfId="49" applyFill="1"/>
    <xf numFmtId="179" fontId="12" fillId="4" borderId="0" xfId="49" applyFont="1" applyFill="1" applyAlignment="1">
      <alignment horizontal="left"/>
    </xf>
    <xf numFmtId="179" fontId="10" fillId="3" borderId="10" xfId="49" applyFont="1" applyFill="1" applyBorder="1" applyAlignment="1">
      <alignment horizontal="center"/>
    </xf>
    <xf numFmtId="0" fontId="13" fillId="5" borderId="0" xfId="0" applyFont="1" applyFill="1"/>
    <xf numFmtId="0" fontId="14" fillId="6" borderId="0" xfId="0" applyFont="1" applyFill="1"/>
    <xf numFmtId="0" fontId="0" fillId="0" borderId="16" xfId="0" applyBorder="1"/>
    <xf numFmtId="0" fontId="0" fillId="0" borderId="17" xfId="0" applyBorder="1"/>
    <xf numFmtId="0" fontId="0" fillId="0" borderId="18" xfId="0" applyBorder="1"/>
    <xf numFmtId="0" fontId="0" fillId="0" borderId="0" xfId="0" applyBorder="1"/>
    <xf numFmtId="0" fontId="2" fillId="0" borderId="18" xfId="0" applyFont="1" applyBorder="1"/>
    <xf numFmtId="0" fontId="0" fillId="0" borderId="19" xfId="0" applyBorder="1"/>
    <xf numFmtId="0" fontId="0" fillId="0" borderId="20" xfId="0" applyBorder="1"/>
    <xf numFmtId="0" fontId="15" fillId="0" borderId="0" xfId="0" applyFont="1"/>
    <xf numFmtId="0" fontId="15" fillId="0" borderId="0" xfId="0" applyFont="1"/>
    <xf numFmtId="0" fontId="0" fillId="0" borderId="21" xfId="0" applyBorder="1"/>
    <xf numFmtId="0" fontId="0" fillId="0" borderId="22" xfId="0" applyBorder="1"/>
    <xf numFmtId="0" fontId="2" fillId="0" borderId="22" xfId="0" applyFont="1" applyBorder="1"/>
    <xf numFmtId="0" fontId="0" fillId="0" borderId="23" xfId="0" applyBorder="1"/>
    <xf numFmtId="0" fontId="2" fillId="0" borderId="0" xfId="0" applyFont="1" applyAlignment="1">
      <alignment horizontal="center" wrapText="1"/>
    </xf>
    <xf numFmtId="0" fontId="2" fillId="0" borderId="0" xfId="0" applyFont="1" applyAlignment="1">
      <alignment wrapText="1"/>
    </xf>
    <xf numFmtId="0" fontId="2" fillId="2" borderId="24" xfId="0" applyFont="1" applyFill="1" applyBorder="1" applyAlignment="1">
      <alignment horizontal="center" vertical="center" wrapText="1"/>
    </xf>
    <xf numFmtId="0" fontId="2" fillId="2" borderId="24" xfId="0" applyFont="1" applyFill="1" applyBorder="1" applyAlignment="1">
      <alignment vertical="center" wrapText="1"/>
    </xf>
    <xf numFmtId="0" fontId="2" fillId="0" borderId="24" xfId="0" applyFont="1" applyBorder="1" applyAlignment="1">
      <alignment horizontal="center" wrapText="1"/>
    </xf>
    <xf numFmtId="0" fontId="2" fillId="0" borderId="24" xfId="0" applyFont="1" applyBorder="1" applyAlignment="1">
      <alignment wrapText="1"/>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 name="Excel Built-in 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Radio" firstButton="1" noThreeD="1" val="0"/>
</file>

<file path=xl/ctrlProps/ctrlProp2.xml><?xml version="1.0" encoding="utf-8"?>
<formControlPr xmlns="http://schemas.microsoft.com/office/spreadsheetml/2009/9/main" objectType="Radio" checked="Checked" firstButton="1" noThreeD="1" val="0"/>
</file>

<file path=xl/ctrlProps/ctrlProp3.xml><?xml version="1.0" encoding="utf-8"?>
<formControlPr xmlns="http://schemas.microsoft.com/office/spreadsheetml/2009/9/main" objectType="Radio" noThreeD="1" val="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57150</xdr:colOff>
          <xdr:row>18</xdr:row>
          <xdr:rowOff>9525</xdr:rowOff>
        </xdr:from>
        <xdr:to>
          <xdr:col>2</xdr:col>
          <xdr:colOff>476250</xdr:colOff>
          <xdr:row>19</xdr:row>
          <xdr:rowOff>19050</xdr:rowOff>
        </xdr:to>
        <xdr:sp>
          <xdr:nvSpPr>
            <xdr:cNvPr id="5121" name="Option Button 1" hidden="1">
              <a:extLst>
                <a:ext uri="{63B3BB69-23CF-44E3-9099-C40C66FF867C}">
                  <a14:compatExt spid="_x0000_s5121"/>
                </a:ext>
              </a:extLst>
            </xdr:cNvPr>
            <xdr:cNvSpPr/>
          </xdr:nvSpPr>
          <xdr:spPr>
            <a:xfrm>
              <a:off x="1152525" y="3495675"/>
              <a:ext cx="419100" cy="200025"/>
            </a:xfrm>
            <a:prstGeom prst="rect">
              <a:avLst/>
            </a:prstGeom>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panose="020B0502040204020203"/>
                  <a:ea typeface="Segoe UI" panose="020B0502040204020203"/>
                  <a:cs typeface="Segoe UI" panose="020B0502040204020203"/>
                </a:rPr>
                <a:t>Yes</a:t>
              </a:r>
              <a:endParaRPr lang="en-GB" sz="800" b="0" i="0" u="none" strike="noStrike" baseline="0">
                <a:solidFill>
                  <a:srgbClr val="000000"/>
                </a:solidFill>
                <a:latin typeface="Segoe UI" panose="020B0502040204020203"/>
                <a:ea typeface="Segoe UI" panose="020B0502040204020203"/>
                <a:cs typeface="Segoe UI" panose="020B0502040204020203"/>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171450</xdr:rowOff>
    </xdr:from>
    <xdr:to>
      <xdr:col>15</xdr:col>
      <xdr:colOff>360762</xdr:colOff>
      <xdr:row>25</xdr:row>
      <xdr:rowOff>94712</xdr:rowOff>
    </xdr:to>
    <xdr:pic>
      <xdr:nvPicPr>
        <xdr:cNvPr id="2" name="Picture 1"/>
        <xdr:cNvPicPr>
          <a:picLocks noChangeAspect="1"/>
        </xdr:cNvPicPr>
      </xdr:nvPicPr>
      <xdr:blipFill>
        <a:blip r:embed="rId1"/>
        <a:stretch>
          <a:fillRect/>
        </a:stretch>
      </xdr:blipFill>
      <xdr:spPr>
        <a:xfrm>
          <a:off x="0" y="552450"/>
          <a:ext cx="9361805" cy="4304665"/>
        </a:xfrm>
        <a:prstGeom prst="rect">
          <a:avLst/>
        </a:prstGeom>
      </xdr:spPr>
    </xdr:pic>
    <xdr:clientData/>
  </xdr:twoCellAnchor>
  <xdr:twoCellAnchor editAs="oneCell">
    <xdr:from>
      <xdr:col>0</xdr:col>
      <xdr:colOff>0</xdr:colOff>
      <xdr:row>30</xdr:row>
      <xdr:rowOff>0</xdr:rowOff>
    </xdr:from>
    <xdr:to>
      <xdr:col>15</xdr:col>
      <xdr:colOff>446476</xdr:colOff>
      <xdr:row>46</xdr:row>
      <xdr:rowOff>132952</xdr:rowOff>
    </xdr:to>
    <xdr:pic>
      <xdr:nvPicPr>
        <xdr:cNvPr id="4" name="Picture 3"/>
        <xdr:cNvPicPr>
          <a:picLocks noChangeAspect="1"/>
        </xdr:cNvPicPr>
      </xdr:nvPicPr>
      <xdr:blipFill>
        <a:blip r:embed="rId2"/>
        <a:stretch>
          <a:fillRect/>
        </a:stretch>
      </xdr:blipFill>
      <xdr:spPr>
        <a:xfrm>
          <a:off x="0" y="5715000"/>
          <a:ext cx="9447530" cy="31807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17</xdr:row>
      <xdr:rowOff>121443</xdr:rowOff>
    </xdr:from>
    <xdr:to>
      <xdr:col>13</xdr:col>
      <xdr:colOff>523875</xdr:colOff>
      <xdr:row>23</xdr:row>
      <xdr:rowOff>161924</xdr:rowOff>
    </xdr:to>
    <xdr:pic>
      <xdr:nvPicPr>
        <xdr:cNvPr id="2" name="Picture 1" descr="http://vendor-in-partnership.officedepot.eu/Images/OfficeDepotLogo.jp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09600" y="3359785"/>
          <a:ext cx="8439150" cy="1183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5</xdr:row>
      <xdr:rowOff>0</xdr:rowOff>
    </xdr:from>
    <xdr:to>
      <xdr:col>15</xdr:col>
      <xdr:colOff>9525</xdr:colOff>
      <xdr:row>11</xdr:row>
      <xdr:rowOff>40481</xdr:rowOff>
    </xdr:to>
    <xdr:pic>
      <xdr:nvPicPr>
        <xdr:cNvPr id="2" name="Picture 1" descr="http://vendor-in-partnership.officedepot.eu/Images/OfficeDepotLogo.jp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09600" y="952500"/>
          <a:ext cx="8401050" cy="1183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xdr:row>
          <xdr:rowOff>0</xdr:rowOff>
        </xdr:from>
        <xdr:to>
          <xdr:col>1</xdr:col>
          <xdr:colOff>1219200</xdr:colOff>
          <xdr:row>2</xdr:row>
          <xdr:rowOff>66675</xdr:rowOff>
        </xdr:to>
        <xdr:sp>
          <xdr:nvSpPr>
            <xdr:cNvPr id="4097" name="Option Button 1" hidden="1">
              <a:extLst>
                <a:ext uri="{63B3BB69-23CF-44E3-9099-C40C66FF867C}">
                  <a14:compatExt spid="_x0000_s4097"/>
                </a:ext>
              </a:extLst>
            </xdr:cNvPr>
            <xdr:cNvSpPr/>
          </xdr:nvSpPr>
          <xdr:spPr>
            <a:xfrm>
              <a:off x="695325" y="152400"/>
              <a:ext cx="1209675" cy="219075"/>
            </a:xfrm>
            <a:prstGeom prst="rect">
              <a:avLst/>
            </a:prstGeom>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panose="020B0502040204020203"/>
                  <a:ea typeface="Segoe UI" panose="020B0502040204020203"/>
                  <a:cs typeface="Segoe UI" panose="020B0502040204020203"/>
                </a:rPr>
                <a:t>Summary</a:t>
              </a:r>
              <a:endParaRPr lang="en-GB" sz="800" b="0" i="0" u="none" strike="noStrike" baseline="0">
                <a:solidFill>
                  <a:srgbClr val="000000"/>
                </a:solidFill>
                <a:latin typeface="Segoe UI" panose="020B0502040204020203"/>
                <a:ea typeface="Segoe UI" panose="020B0502040204020203"/>
                <a:cs typeface="Segoe UI" panose="020B0502040204020203"/>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933450</xdr:colOff>
          <xdr:row>1</xdr:row>
          <xdr:rowOff>0</xdr:rowOff>
        </xdr:from>
        <xdr:to>
          <xdr:col>3</xdr:col>
          <xdr:colOff>114300</xdr:colOff>
          <xdr:row>2</xdr:row>
          <xdr:rowOff>66675</xdr:rowOff>
        </xdr:to>
        <xdr:sp>
          <xdr:nvSpPr>
            <xdr:cNvPr id="4098" name="Option Button 2" hidden="1">
              <a:extLst>
                <a:ext uri="{63B3BB69-23CF-44E3-9099-C40C66FF867C}">
                  <a14:compatExt spid="_x0000_s4098"/>
                </a:ext>
              </a:extLst>
            </xdr:cNvPr>
            <xdr:cNvSpPr/>
          </xdr:nvSpPr>
          <xdr:spPr>
            <a:xfrm>
              <a:off x="1619250" y="152400"/>
              <a:ext cx="1209675" cy="219075"/>
            </a:xfrm>
            <a:prstGeom prst="rect">
              <a:avLst/>
            </a:prstGeom>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panose="020B0502040204020203"/>
                  <a:ea typeface="Segoe UI" panose="020B0502040204020203"/>
                  <a:cs typeface="Segoe UI" panose="020B0502040204020203"/>
                </a:rPr>
                <a:t>Detail</a:t>
              </a:r>
              <a:endParaRPr lang="en-GB" sz="800" b="0" i="0" u="none" strike="noStrike" baseline="0">
                <a:solidFill>
                  <a:srgbClr val="000000"/>
                </a:solidFill>
                <a:latin typeface="Segoe UI" panose="020B0502040204020203"/>
                <a:ea typeface="Segoe UI" panose="020B0502040204020203"/>
                <a:cs typeface="Segoe UI" panose="020B0502040204020203"/>
              </a:endParaRP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4" Type="http://schemas.openxmlformats.org/officeDocument/2006/relationships/ctrlProp" Target="../ctrlProps/ctrlProp3.xml"/><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showGridLines="0" workbookViewId="0">
      <selection activeCell="E10" sqref="E10"/>
    </sheetView>
  </sheetViews>
  <sheetFormatPr defaultColWidth="9" defaultRowHeight="12" outlineLevelRow="4" outlineLevelCol="4"/>
  <cols>
    <col min="1" max="1" width="5.57142857142857" style="59" customWidth="1"/>
    <col min="2" max="2" width="17" style="60" customWidth="1"/>
    <col min="3" max="3" width="44.5714285714286" style="60" customWidth="1"/>
    <col min="4" max="16384" width="9.14285714285714" style="60"/>
  </cols>
  <sheetData>
    <row r="1" ht="24" spans="1:5">
      <c r="A1" s="61" t="s">
        <v>0</v>
      </c>
      <c r="B1" s="62" t="s">
        <v>1</v>
      </c>
      <c r="C1" s="62" t="s">
        <v>2</v>
      </c>
      <c r="D1" s="62" t="s">
        <v>3</v>
      </c>
      <c r="E1" s="62" t="s">
        <v>4</v>
      </c>
    </row>
    <row r="2" ht="24" spans="1:5">
      <c r="A2" s="63">
        <v>1.1</v>
      </c>
      <c r="B2" s="64" t="s">
        <v>5</v>
      </c>
      <c r="C2" s="64"/>
      <c r="D2" s="64"/>
      <c r="E2" s="64"/>
    </row>
    <row r="3" spans="1:5">
      <c r="A3" s="63">
        <v>1.2</v>
      </c>
      <c r="B3" s="64" t="s">
        <v>6</v>
      </c>
      <c r="C3" s="64"/>
      <c r="D3" s="64"/>
      <c r="E3" s="64"/>
    </row>
    <row r="4" ht="24" spans="1:5">
      <c r="A4" s="63">
        <v>1.3</v>
      </c>
      <c r="B4" s="64" t="s">
        <v>7</v>
      </c>
      <c r="C4" s="64"/>
      <c r="D4" s="64"/>
      <c r="E4" s="64"/>
    </row>
    <row r="5" ht="24" spans="1:2">
      <c r="A5" s="59">
        <v>1.4</v>
      </c>
      <c r="B5" s="60" t="s">
        <v>8</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11"/>
  <sheetViews>
    <sheetView showGridLines="0" workbookViewId="0">
      <selection activeCell="A12" sqref="A12"/>
    </sheetView>
  </sheetViews>
  <sheetFormatPr defaultColWidth="9" defaultRowHeight="15"/>
  <cols>
    <col min="1" max="1" width="2.28571428571429" customWidth="1"/>
    <col min="3" max="3" width="11.5714285714286" customWidth="1"/>
    <col min="4" max="4" width="7" customWidth="1"/>
    <col min="6" max="6" width="19.7142857142857" customWidth="1"/>
    <col min="10" max="10" width="10.5714285714286" customWidth="1"/>
    <col min="11" max="11" width="10.7142857142857" customWidth="1"/>
    <col min="12" max="12" width="0.857142857142857" customWidth="1"/>
    <col min="13" max="13" width="57.2857142857143" customWidth="1"/>
    <col min="14" max="14" width="1" customWidth="1"/>
    <col min="15" max="15" width="10.7142857142857" customWidth="1"/>
  </cols>
  <sheetData>
    <row r="1" ht="18.75" spans="1:1">
      <c r="A1" s="4" t="s">
        <v>9</v>
      </c>
    </row>
    <row r="2" spans="1:1">
      <c r="A2" t="s">
        <v>10</v>
      </c>
    </row>
    <row r="4" spans="1:1">
      <c r="A4" t="s">
        <v>11</v>
      </c>
    </row>
    <row r="6" spans="1:1">
      <c r="A6" t="s">
        <v>12</v>
      </c>
    </row>
    <row r="7" spans="1:1">
      <c r="A7" t="s">
        <v>13</v>
      </c>
    </row>
    <row r="9" spans="1:1">
      <c r="A9" t="s">
        <v>14</v>
      </c>
    </row>
    <row r="11" spans="1:1">
      <c r="A11" t="s">
        <v>15</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10"/>
  <sheetViews>
    <sheetView showGridLines="0" workbookViewId="0">
      <selection activeCell="E20" sqref="E20"/>
    </sheetView>
  </sheetViews>
  <sheetFormatPr defaultColWidth="9" defaultRowHeight="15"/>
  <cols>
    <col min="1" max="1" width="2.28571428571429" customWidth="1"/>
    <col min="3" max="3" width="11.5714285714286" customWidth="1"/>
    <col min="4" max="4" width="7" customWidth="1"/>
    <col min="6" max="6" width="19.7142857142857" customWidth="1"/>
    <col min="10" max="10" width="10.5714285714286" customWidth="1"/>
    <col min="11" max="11" width="10.7142857142857" customWidth="1"/>
    <col min="12" max="12" width="0.857142857142857" customWidth="1"/>
    <col min="13" max="13" width="57.2857142857143" customWidth="1"/>
    <col min="14" max="14" width="1" customWidth="1"/>
    <col min="15" max="15" width="10.7142857142857" customWidth="1"/>
  </cols>
  <sheetData>
    <row r="1" ht="18.75" spans="1:1">
      <c r="A1" s="4" t="s">
        <v>16</v>
      </c>
    </row>
    <row r="2" spans="1:1">
      <c r="A2" t="s">
        <v>17</v>
      </c>
    </row>
    <row r="4" spans="1:1">
      <c r="A4" t="s">
        <v>18</v>
      </c>
    </row>
    <row r="6" spans="1:1">
      <c r="A6" t="s">
        <v>19</v>
      </c>
    </row>
    <row r="7" spans="1:1">
      <c r="A7" t="s">
        <v>20</v>
      </c>
    </row>
    <row r="8" spans="1:1">
      <c r="A8" t="s">
        <v>21</v>
      </c>
    </row>
    <row r="10" spans="1:1">
      <c r="A10" t="s">
        <v>22</v>
      </c>
    </row>
  </sheetData>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showGridLines="0" tabSelected="1" topLeftCell="A16" workbookViewId="0">
      <selection activeCell="B50" sqref="B50:D51"/>
    </sheetView>
  </sheetViews>
  <sheetFormatPr defaultColWidth="9" defaultRowHeight="15"/>
  <cols>
    <col min="1" max="1" width="2.71428571428571" customWidth="1"/>
    <col min="2" max="2" width="13.7142857142857" customWidth="1"/>
    <col min="3" max="3" width="13.5714285714286" customWidth="1"/>
    <col min="4" max="5" width="16" customWidth="1"/>
    <col min="9" max="9" width="40.2857142857143" customWidth="1"/>
  </cols>
  <sheetData>
    <row r="1" ht="18.75" spans="2:2">
      <c r="B1" s="4" t="s">
        <v>23</v>
      </c>
    </row>
    <row r="2" spans="2:2">
      <c r="B2" t="s">
        <v>24</v>
      </c>
    </row>
    <row r="3" spans="2:2">
      <c r="B3" t="s">
        <v>25</v>
      </c>
    </row>
    <row r="4" spans="2:2">
      <c r="B4" t="s">
        <v>26</v>
      </c>
    </row>
    <row r="7" spans="2:8">
      <c r="B7" s="44" t="s">
        <v>27</v>
      </c>
      <c r="C7" s="44" t="s">
        <v>28</v>
      </c>
      <c r="D7" s="44" t="s">
        <v>29</v>
      </c>
      <c r="E7" s="44" t="s">
        <v>29</v>
      </c>
      <c r="H7">
        <v>8</v>
      </c>
    </row>
    <row r="8" spans="2:5">
      <c r="B8" s="45" t="s">
        <v>30</v>
      </c>
      <c r="C8" t="s">
        <v>31</v>
      </c>
      <c r="D8" t="s">
        <v>32</v>
      </c>
      <c r="E8" t="s">
        <v>33</v>
      </c>
    </row>
    <row r="9" spans="2:3">
      <c r="B9" t="s">
        <v>32</v>
      </c>
      <c r="C9" t="s">
        <v>34</v>
      </c>
    </row>
    <row r="10" spans="2:3">
      <c r="B10" t="s">
        <v>33</v>
      </c>
      <c r="C10" t="s">
        <v>34</v>
      </c>
    </row>
    <row r="13" spans="2:2">
      <c r="B13" t="s">
        <v>35</v>
      </c>
    </row>
    <row r="14" spans="2:2">
      <c r="B14" t="s">
        <v>36</v>
      </c>
    </row>
    <row r="15" spans="2:2">
      <c r="B15" t="s">
        <v>37</v>
      </c>
    </row>
    <row r="16" ht="15.75" spans="2:2">
      <c r="B16" t="s">
        <v>38</v>
      </c>
    </row>
    <row r="17" spans="2:10">
      <c r="B17" s="46"/>
      <c r="C17" s="47"/>
      <c r="D17" s="47"/>
      <c r="E17" s="47"/>
      <c r="F17" s="47"/>
      <c r="G17" s="47"/>
      <c r="H17" s="47"/>
      <c r="I17" s="47"/>
      <c r="J17" s="55"/>
    </row>
    <row r="18" spans="2:10">
      <c r="B18" s="48" t="s">
        <v>39</v>
      </c>
      <c r="C18" s="49" t="s">
        <v>40</v>
      </c>
      <c r="D18" s="49"/>
      <c r="E18" s="49"/>
      <c r="F18" s="49"/>
      <c r="G18" s="49"/>
      <c r="H18" s="49"/>
      <c r="I18" s="49"/>
      <c r="J18" s="56"/>
    </row>
    <row r="19" spans="2:10">
      <c r="B19" s="48" t="s">
        <v>28</v>
      </c>
      <c r="C19" s="49"/>
      <c r="D19" s="49"/>
      <c r="E19" s="49" t="s">
        <v>41</v>
      </c>
      <c r="F19" s="6">
        <v>43248</v>
      </c>
      <c r="G19" s="49"/>
      <c r="H19" s="49"/>
      <c r="I19" s="49"/>
      <c r="J19" s="56"/>
    </row>
    <row r="20" spans="2:10">
      <c r="B20" s="48"/>
      <c r="C20" s="49"/>
      <c r="D20" s="49"/>
      <c r="E20" s="49"/>
      <c r="F20" s="49"/>
      <c r="G20" s="49"/>
      <c r="H20" s="49"/>
      <c r="I20" s="49"/>
      <c r="J20" s="56"/>
    </row>
    <row r="21" spans="2:12">
      <c r="B21" s="48"/>
      <c r="C21" s="49" t="s">
        <v>42</v>
      </c>
      <c r="D21" s="49"/>
      <c r="E21" s="49"/>
      <c r="F21" s="49"/>
      <c r="G21" s="49"/>
      <c r="H21" s="49"/>
      <c r="I21" s="49"/>
      <c r="J21" s="56"/>
      <c r="L21">
        <v>8</v>
      </c>
    </row>
    <row r="22" spans="2:10">
      <c r="B22" s="48"/>
      <c r="C22" s="49"/>
      <c r="D22" s="49"/>
      <c r="E22" s="49"/>
      <c r="F22" s="49"/>
      <c r="G22" s="49"/>
      <c r="H22" s="49"/>
      <c r="I22" s="49"/>
      <c r="J22" s="56"/>
    </row>
    <row r="23" s="3" customFormat="1" ht="12" spans="2:10">
      <c r="B23" s="50"/>
      <c r="C23" s="19" t="s">
        <v>43</v>
      </c>
      <c r="D23" s="20"/>
      <c r="E23" s="21"/>
      <c r="F23" s="24"/>
      <c r="G23" s="24"/>
      <c r="H23" s="24"/>
      <c r="I23" s="22" t="s">
        <v>44</v>
      </c>
      <c r="J23" s="57"/>
    </row>
    <row r="24" s="3" customFormat="1" ht="12" spans="2:10">
      <c r="B24" s="50"/>
      <c r="C24" s="23" t="s">
        <v>44</v>
      </c>
      <c r="D24" s="24"/>
      <c r="E24" s="25"/>
      <c r="F24" s="24"/>
      <c r="G24" s="26" t="s">
        <v>45</v>
      </c>
      <c r="H24" s="24"/>
      <c r="I24" s="27" t="s">
        <v>46</v>
      </c>
      <c r="J24" s="57"/>
    </row>
    <row r="25" s="3" customFormat="1" ht="12" spans="2:10">
      <c r="B25" s="50" t="s">
        <v>47</v>
      </c>
      <c r="C25" s="23" t="s">
        <v>48</v>
      </c>
      <c r="D25" s="24"/>
      <c r="E25" s="25"/>
      <c r="F25" s="24"/>
      <c r="G25" s="24"/>
      <c r="H25" s="24"/>
      <c r="I25" s="27"/>
      <c r="J25" s="57"/>
    </row>
    <row r="26" s="3" customFormat="1" ht="12" spans="2:10">
      <c r="B26" s="50"/>
      <c r="C26" s="23" t="s">
        <v>46</v>
      </c>
      <c r="D26" s="24"/>
      <c r="E26" s="25"/>
      <c r="F26" s="24"/>
      <c r="G26" s="26" t="s">
        <v>49</v>
      </c>
      <c r="H26" s="24"/>
      <c r="I26" s="27"/>
      <c r="J26" s="57"/>
    </row>
    <row r="27" s="3" customFormat="1" ht="12" spans="2:10">
      <c r="B27" s="50"/>
      <c r="C27" s="28"/>
      <c r="D27" s="29"/>
      <c r="E27" s="30"/>
      <c r="F27" s="24"/>
      <c r="G27" s="24"/>
      <c r="H27" s="24"/>
      <c r="I27" s="31"/>
      <c r="J27" s="57"/>
    </row>
    <row r="28" spans="2:10">
      <c r="B28" s="48"/>
      <c r="C28" s="49"/>
      <c r="D28" s="49"/>
      <c r="E28" s="49"/>
      <c r="F28" s="49"/>
      <c r="G28" s="49"/>
      <c r="H28" s="49"/>
      <c r="I28" s="49"/>
      <c r="J28" s="56"/>
    </row>
    <row r="29" spans="2:10">
      <c r="B29" s="48"/>
      <c r="C29" s="49"/>
      <c r="D29" s="49"/>
      <c r="E29" s="49"/>
      <c r="F29" s="49"/>
      <c r="G29" s="49"/>
      <c r="H29" s="49"/>
      <c r="I29" s="49"/>
      <c r="J29" s="56"/>
    </row>
    <row r="30" spans="2:10">
      <c r="B30" s="48"/>
      <c r="C30" s="49"/>
      <c r="D30" s="49"/>
      <c r="E30" s="49"/>
      <c r="F30" s="49"/>
      <c r="G30" s="49"/>
      <c r="H30" s="49"/>
      <c r="I30" s="26" t="s">
        <v>50</v>
      </c>
      <c r="J30" s="56"/>
    </row>
    <row r="31" ht="15.75" spans="2:10">
      <c r="B31" s="51"/>
      <c r="C31" s="52"/>
      <c r="D31" s="52"/>
      <c r="E31" s="52"/>
      <c r="F31" s="52"/>
      <c r="G31" s="52"/>
      <c r="H31" s="52"/>
      <c r="I31" s="52"/>
      <c r="J31" s="58"/>
    </row>
    <row r="32" spans="2:2">
      <c r="B32" t="s">
        <v>51</v>
      </c>
    </row>
    <row r="34" spans="2:2">
      <c r="B34" t="s">
        <v>52</v>
      </c>
    </row>
    <row r="35" spans="1:7">
      <c r="A35" s="36"/>
      <c r="B35" s="36" t="s">
        <v>53</v>
      </c>
      <c r="C35" s="36"/>
      <c r="D35" s="36"/>
      <c r="E35" s="36"/>
      <c r="F35" s="36"/>
      <c r="G35" s="36"/>
    </row>
    <row r="37" spans="2:2">
      <c r="B37" t="s">
        <v>54</v>
      </c>
    </row>
    <row r="38" spans="2:2">
      <c r="B38" t="s">
        <v>55</v>
      </c>
    </row>
    <row r="39" spans="2:2">
      <c r="B39" t="s">
        <v>56</v>
      </c>
    </row>
    <row r="40" spans="2:2">
      <c r="B40" t="s">
        <v>57</v>
      </c>
    </row>
    <row r="41" spans="2:2">
      <c r="B41" t="s">
        <v>58</v>
      </c>
    </row>
    <row r="42" spans="2:2">
      <c r="B42" t="s">
        <v>59</v>
      </c>
    </row>
    <row r="44" spans="2:2">
      <c r="B44" t="s">
        <v>60</v>
      </c>
    </row>
    <row r="45" spans="2:2">
      <c r="B45" t="s">
        <v>61</v>
      </c>
    </row>
    <row r="50" spans="2:11">
      <c r="B50" s="53" t="s">
        <v>62</v>
      </c>
      <c r="C50" s="54"/>
      <c r="D50" s="54"/>
      <c r="K50">
        <v>32</v>
      </c>
    </row>
    <row r="51" spans="2:4">
      <c r="B51" s="53" t="s">
        <v>63</v>
      </c>
      <c r="C51" s="54"/>
      <c r="D51" s="54"/>
    </row>
  </sheetData>
  <pageMargins left="0.699305555555556" right="0.699305555555556" top="0.75" bottom="0.75" header="0.3" footer="0.3"/>
  <pageSetup paperSize="1"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5121" name="Option Button 1" r:id="rId3">
              <controlPr defaultSize="0">
                <anchor moveWithCells="1">
                  <from>
                    <xdr:col>2</xdr:col>
                    <xdr:colOff>57150</xdr:colOff>
                    <xdr:row>18</xdr:row>
                    <xdr:rowOff>9525</xdr:rowOff>
                  </from>
                  <to>
                    <xdr:col>2</xdr:col>
                    <xdr:colOff>476250</xdr:colOff>
                    <xdr:row>19</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
  <sheetViews>
    <sheetView showGridLines="0" topLeftCell="A25" workbookViewId="0">
      <selection activeCell="T10" sqref="T10"/>
    </sheetView>
  </sheetViews>
  <sheetFormatPr defaultColWidth="9" defaultRowHeight="15"/>
  <sheetData>
    <row r="1" spans="1:1">
      <c r="A1" t="s">
        <v>64</v>
      </c>
    </row>
    <row r="2" spans="1:1">
      <c r="A2" t="s">
        <v>65</v>
      </c>
    </row>
    <row r="28" spans="1:1">
      <c r="A28" t="s">
        <v>66</v>
      </c>
    </row>
    <row r="29" spans="1:1">
      <c r="A29" t="s">
        <v>67</v>
      </c>
    </row>
    <row r="48" spans="1:1">
      <c r="A48" t="s">
        <v>68</v>
      </c>
    </row>
    <row r="50" spans="1:1">
      <c r="A50" t="s">
        <v>69</v>
      </c>
    </row>
    <row r="52" spans="1:1">
      <c r="A52" t="s">
        <v>70</v>
      </c>
    </row>
  </sheetData>
  <pageMargins left="0.699305555555556" right="0.699305555555556"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0"/>
  <sheetViews>
    <sheetView showGridLines="0" topLeftCell="A7" workbookViewId="0">
      <selection activeCell="Q5" sqref="Q5"/>
    </sheetView>
  </sheetViews>
  <sheetFormatPr defaultColWidth="9" defaultRowHeight="15"/>
  <cols>
    <col min="10" max="10" width="11.8571428571429" customWidth="1"/>
    <col min="12" max="12" width="17" customWidth="1"/>
  </cols>
  <sheetData>
    <row r="1" spans="1:1">
      <c r="A1" s="35" t="s">
        <v>71</v>
      </c>
    </row>
    <row r="2" spans="1:1">
      <c r="A2" s="35" t="s">
        <v>72</v>
      </c>
    </row>
    <row r="3" spans="1:1">
      <c r="A3" s="35" t="s">
        <v>73</v>
      </c>
    </row>
    <row r="5" spans="1:17">
      <c r="A5" s="35" t="s">
        <v>74</v>
      </c>
      <c r="Q5">
        <v>28</v>
      </c>
    </row>
    <row r="6" spans="1:1">
      <c r="A6" s="35" t="s">
        <v>75</v>
      </c>
    </row>
    <row r="7" spans="1:1">
      <c r="A7" s="35"/>
    </row>
    <row r="8" spans="1:1">
      <c r="A8" s="35" t="s">
        <v>76</v>
      </c>
    </row>
    <row r="9" spans="1:16">
      <c r="A9" s="35"/>
      <c r="P9">
        <v>16</v>
      </c>
    </row>
    <row r="10" spans="1:1">
      <c r="A10" s="35" t="s">
        <v>77</v>
      </c>
    </row>
    <row r="11" spans="1:1">
      <c r="A11" s="35" t="s">
        <v>78</v>
      </c>
    </row>
    <row r="12" spans="1:1">
      <c r="A12" s="35" t="s">
        <v>79</v>
      </c>
    </row>
    <row r="13" spans="1:1">
      <c r="A13" s="35" t="s">
        <v>80</v>
      </c>
    </row>
    <row r="15" spans="1:1">
      <c r="A15" t="s">
        <v>81</v>
      </c>
    </row>
    <row r="16" spans="1:1">
      <c r="A16" s="34" t="s">
        <v>82</v>
      </c>
    </row>
    <row r="17" spans="1:1">
      <c r="A17" t="s">
        <v>83</v>
      </c>
    </row>
    <row r="25" spans="2:2">
      <c r="B25" t="s">
        <v>84</v>
      </c>
    </row>
    <row r="27" spans="2:2">
      <c r="B27" t="s">
        <v>85</v>
      </c>
    </row>
    <row r="29" spans="2:18">
      <c r="B29" t="s">
        <v>86</v>
      </c>
      <c r="R29">
        <v>8</v>
      </c>
    </row>
    <row r="31" spans="2:2">
      <c r="B31" t="s">
        <v>87</v>
      </c>
    </row>
    <row r="33" spans="2:2">
      <c r="B33" s="36" t="s">
        <v>88</v>
      </c>
    </row>
    <row r="34" spans="2:2">
      <c r="B34" s="36" t="s">
        <v>89</v>
      </c>
    </row>
    <row r="35" spans="2:2">
      <c r="B35" s="36"/>
    </row>
    <row r="36" spans="2:2">
      <c r="B36" t="s">
        <v>90</v>
      </c>
    </row>
    <row r="38" spans="2:2">
      <c r="B38" t="s">
        <v>91</v>
      </c>
    </row>
    <row r="40" spans="2:2">
      <c r="B40" t="s">
        <v>92</v>
      </c>
    </row>
    <row r="42" spans="1:1">
      <c r="A42" t="s">
        <v>93</v>
      </c>
    </row>
    <row r="44" spans="1:12">
      <c r="A44" s="37" t="s">
        <v>94</v>
      </c>
      <c r="B44" s="38" t="s">
        <v>95</v>
      </c>
      <c r="C44" s="38"/>
      <c r="D44" s="37" t="s">
        <v>96</v>
      </c>
      <c r="E44" s="37"/>
      <c r="F44" s="37" t="s">
        <v>97</v>
      </c>
      <c r="G44" s="37"/>
      <c r="H44" s="37"/>
      <c r="I44" s="37"/>
      <c r="J44" s="37" t="s">
        <v>98</v>
      </c>
      <c r="K44" s="37"/>
      <c r="L44" s="37" t="s">
        <v>99</v>
      </c>
    </row>
    <row r="45" spans="1:12">
      <c r="A45" s="39"/>
      <c r="B45" s="40" t="s">
        <v>100</v>
      </c>
      <c r="C45" s="40"/>
      <c r="D45" s="40" t="s">
        <v>101</v>
      </c>
      <c r="E45" s="40" t="s">
        <v>102</v>
      </c>
      <c r="F45" s="40"/>
      <c r="G45" s="40"/>
      <c r="H45" s="40"/>
      <c r="I45" s="40"/>
      <c r="J45" s="40" t="s">
        <v>103</v>
      </c>
      <c r="K45" s="40"/>
      <c r="L45" s="40" t="s">
        <v>103</v>
      </c>
    </row>
    <row r="46" spans="1:15">
      <c r="A46" s="41"/>
      <c r="B46" s="42" t="s">
        <v>100</v>
      </c>
      <c r="C46" s="42"/>
      <c r="D46" s="42">
        <v>103</v>
      </c>
      <c r="E46" s="42" t="s">
        <v>104</v>
      </c>
      <c r="F46" s="42"/>
      <c r="G46" s="42"/>
      <c r="H46" s="42"/>
      <c r="I46" s="42"/>
      <c r="J46" s="42" t="s">
        <v>103</v>
      </c>
      <c r="K46" s="42"/>
      <c r="L46" s="42" t="s">
        <v>105</v>
      </c>
      <c r="O46">
        <v>4</v>
      </c>
    </row>
    <row r="47" spans="1:12">
      <c r="A47" s="39"/>
      <c r="B47" s="40" t="s">
        <v>100</v>
      </c>
      <c r="C47" s="40"/>
      <c r="D47" s="40" t="s">
        <v>106</v>
      </c>
      <c r="E47" s="40"/>
      <c r="F47" s="40" t="s">
        <v>107</v>
      </c>
      <c r="G47" s="40"/>
      <c r="H47" s="40"/>
      <c r="I47" s="40"/>
      <c r="J47" s="40"/>
      <c r="K47" s="40"/>
      <c r="L47" s="40" t="s">
        <v>103</v>
      </c>
    </row>
    <row r="48" spans="1:12">
      <c r="A48" s="39"/>
      <c r="B48" s="39"/>
      <c r="C48" s="39"/>
      <c r="D48" s="39"/>
      <c r="E48" s="39"/>
      <c r="F48" s="39"/>
      <c r="G48" s="39"/>
      <c r="H48" s="39"/>
      <c r="I48" s="39"/>
      <c r="J48" s="39"/>
      <c r="K48" s="39"/>
      <c r="L48" s="39"/>
    </row>
    <row r="49" spans="1:12">
      <c r="A49" s="39"/>
      <c r="B49" s="39"/>
      <c r="C49" s="39"/>
      <c r="D49" s="39"/>
      <c r="E49" s="39"/>
      <c r="F49" s="39"/>
      <c r="G49" s="39"/>
      <c r="H49" s="39"/>
      <c r="I49" s="39"/>
      <c r="J49" s="43" t="s">
        <v>108</v>
      </c>
      <c r="K49" s="39"/>
      <c r="L49" s="43" t="s">
        <v>109</v>
      </c>
    </row>
    <row r="50" spans="1:16">
      <c r="A50" s="39"/>
      <c r="B50" s="39"/>
      <c r="C50" s="39"/>
      <c r="D50" s="39"/>
      <c r="E50" s="39"/>
      <c r="F50" s="39"/>
      <c r="G50" s="39"/>
      <c r="H50" s="39"/>
      <c r="I50" s="39"/>
      <c r="J50" s="39"/>
      <c r="K50" s="39"/>
      <c r="L50" s="39"/>
      <c r="P50">
        <v>4</v>
      </c>
    </row>
  </sheetData>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showGridLines="0" workbookViewId="0">
      <selection activeCell="A1" sqref="A1:I1"/>
    </sheetView>
  </sheetViews>
  <sheetFormatPr defaultColWidth="9" defaultRowHeight="15" outlineLevelCol="3"/>
  <sheetData>
    <row r="1" spans="1:1">
      <c r="A1" t="s">
        <v>110</v>
      </c>
    </row>
    <row r="2" spans="1:1">
      <c r="A2" t="s">
        <v>111</v>
      </c>
    </row>
    <row r="4" spans="1:1">
      <c r="A4" s="34" t="s">
        <v>112</v>
      </c>
    </row>
    <row r="5" spans="1:1">
      <c r="A5" t="s">
        <v>113</v>
      </c>
    </row>
    <row r="12" spans="2:2">
      <c r="B12" t="s">
        <v>84</v>
      </c>
    </row>
    <row r="14" spans="2:2">
      <c r="B14" t="s">
        <v>114</v>
      </c>
    </row>
    <row r="16" spans="2:2">
      <c r="B16" t="s">
        <v>115</v>
      </c>
    </row>
    <row r="18" spans="2:2">
      <c r="B18" t="s">
        <v>116</v>
      </c>
    </row>
    <row r="20" spans="2:2">
      <c r="B20" t="s">
        <v>117</v>
      </c>
    </row>
    <row r="21" spans="2:2">
      <c r="B21" t="s">
        <v>118</v>
      </c>
    </row>
    <row r="22" spans="2:2">
      <c r="B22" t="s">
        <v>119</v>
      </c>
    </row>
    <row r="23" spans="2:2">
      <c r="B23" t="s">
        <v>120</v>
      </c>
    </row>
    <row r="24" spans="2:2">
      <c r="B24" t="s">
        <v>121</v>
      </c>
    </row>
    <row r="25" spans="2:2">
      <c r="B25" t="s">
        <v>122</v>
      </c>
    </row>
    <row r="26" spans="2:2">
      <c r="B26" t="s">
        <v>123</v>
      </c>
    </row>
    <row r="28" spans="2:2">
      <c r="B28" t="s">
        <v>124</v>
      </c>
    </row>
    <row r="29" spans="2:2">
      <c r="B29" t="s">
        <v>125</v>
      </c>
    </row>
    <row r="31" spans="1:1">
      <c r="A31" t="s">
        <v>126</v>
      </c>
    </row>
    <row r="32" spans="1:1">
      <c r="A32" t="s">
        <v>127</v>
      </c>
    </row>
    <row r="34" spans="4:4">
      <c r="D34">
        <v>12</v>
      </c>
    </row>
  </sheetData>
  <pageMargins left="0.699305555555556" right="0.699305555555556"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46"/>
  <sheetViews>
    <sheetView topLeftCell="A10" workbookViewId="0">
      <selection activeCell="I41" sqref="I41"/>
    </sheetView>
  </sheetViews>
  <sheetFormatPr defaultColWidth="9" defaultRowHeight="12" outlineLevelCol="1"/>
  <cols>
    <col min="1" max="16384" width="9.14285714285714" style="3"/>
  </cols>
  <sheetData>
    <row r="1" ht="18.75" spans="1:1">
      <c r="A1" s="4" t="s">
        <v>128</v>
      </c>
    </row>
    <row r="3" spans="1:1">
      <c r="A3" s="3" t="s">
        <v>129</v>
      </c>
    </row>
    <row r="5" spans="1:1">
      <c r="A5" s="3" t="s">
        <v>130</v>
      </c>
    </row>
    <row r="7" spans="1:1">
      <c r="A7" s="1" t="s">
        <v>131</v>
      </c>
    </row>
    <row r="8" spans="1:1">
      <c r="A8" s="1" t="s">
        <v>132</v>
      </c>
    </row>
    <row r="10" spans="1:1">
      <c r="A10" s="3" t="s">
        <v>133</v>
      </c>
    </row>
    <row r="11" spans="1:1">
      <c r="A11" s="3" t="s">
        <v>134</v>
      </c>
    </row>
    <row r="13" ht="15" spans="1:1">
      <c r="A13" s="34" t="s">
        <v>135</v>
      </c>
    </row>
    <row r="14" spans="1:1">
      <c r="A14" s="1" t="s">
        <v>136</v>
      </c>
    </row>
    <row r="15" spans="1:1">
      <c r="A15" s="3" t="s">
        <v>137</v>
      </c>
    </row>
    <row r="16" spans="1:1">
      <c r="A16" s="3" t="s">
        <v>138</v>
      </c>
    </row>
    <row r="17" spans="1:1">
      <c r="A17" s="3" t="s">
        <v>139</v>
      </c>
    </row>
    <row r="19" spans="1:1">
      <c r="A19" s="1" t="s">
        <v>140</v>
      </c>
    </row>
    <row r="20" spans="1:1">
      <c r="A20" s="3" t="s">
        <v>141</v>
      </c>
    </row>
    <row r="21" spans="1:1">
      <c r="A21" s="3" t="s">
        <v>142</v>
      </c>
    </row>
    <row r="22" spans="1:1">
      <c r="A22" s="3" t="s">
        <v>143</v>
      </c>
    </row>
    <row r="23" spans="1:1">
      <c r="A23" s="1"/>
    </row>
    <row r="24" spans="1:1">
      <c r="A24" s="1" t="s">
        <v>144</v>
      </c>
    </row>
    <row r="25" spans="1:1">
      <c r="A25" s="3" t="s">
        <v>145</v>
      </c>
    </row>
    <row r="26" spans="1:1">
      <c r="A26" s="3" t="s">
        <v>146</v>
      </c>
    </row>
    <row r="27" spans="1:1">
      <c r="A27" s="3" t="s">
        <v>147</v>
      </c>
    </row>
    <row r="28" spans="1:1">
      <c r="A28" s="1"/>
    </row>
    <row r="29" spans="1:1">
      <c r="A29" s="1" t="s">
        <v>148</v>
      </c>
    </row>
    <row r="30" spans="1:1">
      <c r="A30" s="3" t="s">
        <v>145</v>
      </c>
    </row>
    <row r="31" spans="1:1">
      <c r="A31" s="3" t="s">
        <v>146</v>
      </c>
    </row>
    <row r="32" spans="1:1">
      <c r="A32" s="3" t="s">
        <v>147</v>
      </c>
    </row>
    <row r="33" spans="1:1">
      <c r="A33" s="1"/>
    </row>
    <row r="34" ht="15" spans="1:1">
      <c r="A34" s="34" t="s">
        <v>149</v>
      </c>
    </row>
    <row r="35" spans="1:1">
      <c r="A35" s="1" t="s">
        <v>136</v>
      </c>
    </row>
    <row r="37" spans="1:2">
      <c r="A37" s="3" t="s">
        <v>150</v>
      </c>
      <c r="B37" s="3" t="s">
        <v>151</v>
      </c>
    </row>
    <row r="38" spans="2:2">
      <c r="B38" s="3" t="s">
        <v>152</v>
      </c>
    </row>
    <row r="39" spans="2:2">
      <c r="B39" s="3" t="s">
        <v>153</v>
      </c>
    </row>
    <row r="41" spans="1:2">
      <c r="A41" s="3" t="s">
        <v>154</v>
      </c>
      <c r="B41" s="3" t="s">
        <v>155</v>
      </c>
    </row>
    <row r="42" spans="2:2">
      <c r="B42" s="3" t="s">
        <v>156</v>
      </c>
    </row>
    <row r="44" spans="1:1">
      <c r="A44" s="3" t="s">
        <v>157</v>
      </c>
    </row>
    <row r="46" spans="1:1">
      <c r="A46" s="3" t="s">
        <v>158</v>
      </c>
    </row>
  </sheetData>
  <pageMargins left="0.699305555555556" right="0.699305555555556"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4:H38"/>
  <sheetViews>
    <sheetView showGridLines="0" workbookViewId="0">
      <selection activeCell="A6" sqref="$A6:$XFD10"/>
    </sheetView>
  </sheetViews>
  <sheetFormatPr defaultColWidth="9" defaultRowHeight="12" outlineLevelCol="7"/>
  <cols>
    <col min="1" max="1" width="10.2857142857143" style="3" customWidth="1"/>
    <col min="2" max="2" width="29" style="3" customWidth="1"/>
    <col min="3" max="3" width="1.42857142857143" style="3" customWidth="1"/>
    <col min="4" max="4" width="21" style="3" customWidth="1"/>
    <col min="5" max="5" width="1.85714285714286" style="3" customWidth="1"/>
    <col min="6" max="6" width="3.71428571428571" style="3" customWidth="1"/>
    <col min="7" max="7" width="1.85714285714286" style="3" customWidth="1"/>
    <col min="8" max="8" width="45.2857142857143" style="3" customWidth="1"/>
    <col min="9" max="16384" width="9.14285714285714" style="3"/>
  </cols>
  <sheetData>
    <row r="4" spans="1:2">
      <c r="A4" s="16" t="s">
        <v>159</v>
      </c>
      <c r="B4" s="17" t="s">
        <v>136</v>
      </c>
    </row>
    <row r="5" spans="2:2">
      <c r="B5" s="18"/>
    </row>
    <row r="6" spans="2:8">
      <c r="B6" s="19"/>
      <c r="C6" s="20"/>
      <c r="D6" s="21"/>
      <c r="H6" s="22"/>
    </row>
    <row r="7" spans="2:8">
      <c r="B7" s="23"/>
      <c r="C7" s="24"/>
      <c r="D7" s="25"/>
      <c r="F7" s="26" t="s">
        <v>45</v>
      </c>
      <c r="H7" s="27"/>
    </row>
    <row r="8" spans="1:8">
      <c r="A8" s="3" t="s">
        <v>95</v>
      </c>
      <c r="B8" s="23"/>
      <c r="C8" s="24"/>
      <c r="D8" s="25"/>
      <c r="H8" s="27"/>
    </row>
    <row r="9" spans="2:8">
      <c r="B9" s="23"/>
      <c r="C9" s="24"/>
      <c r="D9" s="25"/>
      <c r="F9" s="26" t="s">
        <v>49</v>
      </c>
      <c r="H9" s="27"/>
    </row>
    <row r="10" spans="2:8">
      <c r="B10" s="28"/>
      <c r="C10" s="29"/>
      <c r="D10" s="30"/>
      <c r="H10" s="31"/>
    </row>
    <row r="12" spans="2:8">
      <c r="B12" s="19"/>
      <c r="C12" s="20"/>
      <c r="D12" s="21"/>
      <c r="H12" s="22"/>
    </row>
    <row r="13" spans="2:8">
      <c r="B13" s="23"/>
      <c r="C13" s="24"/>
      <c r="D13" s="25"/>
      <c r="F13" s="26" t="s">
        <v>45</v>
      </c>
      <c r="H13" s="27"/>
    </row>
    <row r="14" spans="1:8">
      <c r="A14" s="3" t="s">
        <v>119</v>
      </c>
      <c r="B14" s="23"/>
      <c r="C14" s="24"/>
      <c r="D14" s="25"/>
      <c r="H14" s="27"/>
    </row>
    <row r="15" spans="2:8">
      <c r="B15" s="23"/>
      <c r="C15" s="24"/>
      <c r="D15" s="25"/>
      <c r="F15" s="26" t="s">
        <v>49</v>
      </c>
      <c r="H15" s="27"/>
    </row>
    <row r="16" spans="2:8">
      <c r="B16" s="28"/>
      <c r="C16" s="29"/>
      <c r="D16" s="30"/>
      <c r="H16" s="31"/>
    </row>
    <row r="17" spans="2:8">
      <c r="B17" s="24"/>
      <c r="C17" s="24"/>
      <c r="D17" s="24"/>
      <c r="H17" s="24"/>
    </row>
    <row r="18" spans="2:4">
      <c r="B18" s="32"/>
      <c r="D18" s="33" t="s">
        <v>160</v>
      </c>
    </row>
    <row r="19" ht="5.25" customHeight="1"/>
    <row r="20" spans="2:8">
      <c r="B20" s="19"/>
      <c r="C20" s="20"/>
      <c r="D20" s="21"/>
      <c r="H20" s="22"/>
    </row>
    <row r="21" spans="2:8">
      <c r="B21" s="23"/>
      <c r="C21" s="24"/>
      <c r="D21" s="25"/>
      <c r="F21" s="26" t="s">
        <v>45</v>
      </c>
      <c r="H21" s="27"/>
    </row>
    <row r="22" spans="1:8">
      <c r="A22" s="3" t="s">
        <v>119</v>
      </c>
      <c r="B22" s="23"/>
      <c r="C22" s="24"/>
      <c r="D22" s="25"/>
      <c r="H22" s="27"/>
    </row>
    <row r="23" spans="2:8">
      <c r="B23" s="23"/>
      <c r="C23" s="24"/>
      <c r="D23" s="25"/>
      <c r="F23" s="26" t="s">
        <v>49</v>
      </c>
      <c r="H23" s="27"/>
    </row>
    <row r="24" spans="2:8">
      <c r="B24" s="28"/>
      <c r="C24" s="29"/>
      <c r="D24" s="30"/>
      <c r="H24" s="31"/>
    </row>
    <row r="26" spans="2:4">
      <c r="B26" s="32"/>
      <c r="D26" s="33" t="s">
        <v>161</v>
      </c>
    </row>
    <row r="27" ht="5.25" customHeight="1"/>
    <row r="28" spans="2:8">
      <c r="B28" s="19"/>
      <c r="C28" s="20"/>
      <c r="D28" s="21"/>
      <c r="H28" s="22"/>
    </row>
    <row r="29" spans="2:8">
      <c r="B29" s="23"/>
      <c r="C29" s="24"/>
      <c r="D29" s="25"/>
      <c r="F29" s="26" t="s">
        <v>45</v>
      </c>
      <c r="H29" s="27"/>
    </row>
    <row r="30" spans="1:8">
      <c r="A30" s="3" t="s">
        <v>162</v>
      </c>
      <c r="B30" s="23"/>
      <c r="C30" s="24"/>
      <c r="D30" s="25"/>
      <c r="H30" s="27"/>
    </row>
    <row r="31" spans="2:8">
      <c r="B31" s="23"/>
      <c r="C31" s="24"/>
      <c r="D31" s="25"/>
      <c r="F31" s="26" t="s">
        <v>49</v>
      </c>
      <c r="H31" s="27"/>
    </row>
    <row r="32" spans="2:8">
      <c r="B32" s="28"/>
      <c r="C32" s="29"/>
      <c r="D32" s="30"/>
      <c r="H32" s="31"/>
    </row>
    <row r="34" spans="2:8">
      <c r="B34" s="19"/>
      <c r="C34" s="20"/>
      <c r="D34" s="21"/>
      <c r="H34" s="22"/>
    </row>
    <row r="35" spans="1:8">
      <c r="A35" s="3" t="s">
        <v>163</v>
      </c>
      <c r="B35" s="23"/>
      <c r="C35" s="24"/>
      <c r="D35" s="25"/>
      <c r="F35" s="26" t="s">
        <v>45</v>
      </c>
      <c r="H35" s="27"/>
    </row>
    <row r="36" spans="1:8">
      <c r="A36" s="3" t="s">
        <v>164</v>
      </c>
      <c r="B36" s="23"/>
      <c r="C36" s="24"/>
      <c r="D36" s="25"/>
      <c r="H36" s="27"/>
    </row>
    <row r="37" spans="2:8">
      <c r="B37" s="23"/>
      <c r="C37" s="24"/>
      <c r="D37" s="25"/>
      <c r="F37" s="26" t="s">
        <v>49</v>
      </c>
      <c r="H37" s="27"/>
    </row>
    <row r="38" spans="2:8">
      <c r="B38" s="28"/>
      <c r="C38" s="29"/>
      <c r="D38" s="30"/>
      <c r="H38" s="31"/>
    </row>
  </sheetData>
  <pageMargins left="0.699305555555556" right="0.699305555555556" top="0.75" bottom="0.75" header="0.3" footer="0.3"/>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4097" name="Option Button 1" r:id="rId3">
              <controlPr defaultSize="0">
                <anchor moveWithCells="1">
                  <from>
                    <xdr:col>1</xdr:col>
                    <xdr:colOff>9525</xdr:colOff>
                    <xdr:row>1</xdr:row>
                    <xdr:rowOff>0</xdr:rowOff>
                  </from>
                  <to>
                    <xdr:col>1</xdr:col>
                    <xdr:colOff>1219200</xdr:colOff>
                    <xdr:row>2</xdr:row>
                    <xdr:rowOff>66675</xdr:rowOff>
                  </to>
                </anchor>
              </controlPr>
            </control>
          </mc:Choice>
        </mc:AlternateContent>
        <mc:AlternateContent xmlns:mc="http://schemas.openxmlformats.org/markup-compatibility/2006">
          <mc:Choice Requires="x14">
            <control shapeId="4098" name="Option Button 2" r:id="rId4">
              <controlPr defaultSize="0">
                <anchor moveWithCells="1">
                  <from>
                    <xdr:col>1</xdr:col>
                    <xdr:colOff>933450</xdr:colOff>
                    <xdr:row>1</xdr:row>
                    <xdr:rowOff>0</xdr:rowOff>
                  </from>
                  <to>
                    <xdr:col>3</xdr:col>
                    <xdr:colOff>114300</xdr:colOff>
                    <xdr:row>2</xdr:row>
                    <xdr:rowOff>66675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L60"/>
  <sheetViews>
    <sheetView showGridLines="0" workbookViewId="0">
      <selection activeCell="E6" sqref="E6"/>
    </sheetView>
  </sheetViews>
  <sheetFormatPr defaultColWidth="9" defaultRowHeight="12"/>
  <cols>
    <col min="1" max="1" width="9.14285714285714" style="3"/>
    <col min="2" max="2" width="17.4285714285714" style="3" customWidth="1"/>
    <col min="3" max="3" width="12.2857142857143" style="3" customWidth="1"/>
    <col min="4" max="4" width="13.8571428571429" style="3" customWidth="1"/>
    <col min="5" max="5" width="10.8571428571429" style="3" customWidth="1"/>
    <col min="6" max="7" width="11.2857142857143" style="3" customWidth="1"/>
    <col min="8" max="16384" width="9.14285714285714" style="3"/>
  </cols>
  <sheetData>
    <row r="1" ht="18.75" spans="1:1">
      <c r="A1" s="4" t="s">
        <v>165</v>
      </c>
    </row>
    <row r="2" s="1" customFormat="1" spans="1:1">
      <c r="A2" s="3" t="s">
        <v>166</v>
      </c>
    </row>
    <row r="4" spans="2:2">
      <c r="B4" s="3" t="s">
        <v>167</v>
      </c>
    </row>
    <row r="6" s="2" customFormat="1" ht="15" customHeight="1" spans="2:12">
      <c r="B6" s="5" t="s">
        <v>168</v>
      </c>
      <c r="C6" s="6">
        <v>42370</v>
      </c>
      <c r="D6" s="7" t="s">
        <v>169</v>
      </c>
      <c r="E6" s="6">
        <v>42400</v>
      </c>
      <c r="F6" s="8" t="s">
        <v>170</v>
      </c>
      <c r="G6" s="9"/>
      <c r="H6" s="10" t="s">
        <v>171</v>
      </c>
      <c r="I6" s="9" t="s">
        <v>172</v>
      </c>
      <c r="J6" s="9"/>
      <c r="K6" s="14" t="s">
        <v>173</v>
      </c>
      <c r="L6" s="15"/>
    </row>
    <row r="8" spans="2:12">
      <c r="B8" s="11" t="s">
        <v>174</v>
      </c>
      <c r="C8" s="11" t="s">
        <v>175</v>
      </c>
      <c r="D8" s="11" t="s">
        <v>176</v>
      </c>
      <c r="E8" s="11" t="s">
        <v>177</v>
      </c>
      <c r="F8" s="11" t="s">
        <v>178</v>
      </c>
      <c r="G8" s="11" t="s">
        <v>179</v>
      </c>
      <c r="H8" s="11" t="s">
        <v>180</v>
      </c>
      <c r="I8" s="11" t="s">
        <v>181</v>
      </c>
      <c r="J8" s="11" t="s">
        <v>182</v>
      </c>
      <c r="K8" s="11" t="s">
        <v>183</v>
      </c>
      <c r="L8" s="11" t="s">
        <v>184</v>
      </c>
    </row>
    <row r="9" spans="2:12">
      <c r="B9" s="12" t="s">
        <v>185</v>
      </c>
      <c r="C9" s="13" t="s">
        <v>186</v>
      </c>
      <c r="D9" s="13">
        <f>SUM(E9:K9)</f>
        <v>8</v>
      </c>
      <c r="E9" s="13">
        <v>1</v>
      </c>
      <c r="F9" s="13">
        <v>5</v>
      </c>
      <c r="G9" s="13">
        <v>0</v>
      </c>
      <c r="H9" s="13">
        <v>0</v>
      </c>
      <c r="I9" s="13">
        <v>0</v>
      </c>
      <c r="J9" s="13">
        <v>2</v>
      </c>
      <c r="K9" s="13">
        <v>0</v>
      </c>
      <c r="L9" s="13"/>
    </row>
    <row r="10" spans="2:12">
      <c r="B10" s="12" t="s">
        <v>187</v>
      </c>
      <c r="C10" s="13" t="s">
        <v>186</v>
      </c>
      <c r="D10" s="13">
        <f>SUM(E10:K10)</f>
        <v>5</v>
      </c>
      <c r="E10" s="13">
        <v>0</v>
      </c>
      <c r="F10" s="13">
        <v>3</v>
      </c>
      <c r="G10" s="13">
        <v>1</v>
      </c>
      <c r="H10" s="13">
        <v>0</v>
      </c>
      <c r="I10" s="13">
        <v>1</v>
      </c>
      <c r="J10" s="13">
        <v>0</v>
      </c>
      <c r="K10" s="13">
        <v>0</v>
      </c>
      <c r="L10" s="13"/>
    </row>
    <row r="11" spans="2:12">
      <c r="B11" s="12" t="s">
        <v>188</v>
      </c>
      <c r="C11" s="13" t="s">
        <v>186</v>
      </c>
      <c r="D11" s="13">
        <f>SUM(E11:K11)</f>
        <v>1</v>
      </c>
      <c r="E11" s="13">
        <v>1</v>
      </c>
      <c r="F11" s="13">
        <v>0</v>
      </c>
      <c r="G11" s="13">
        <v>0</v>
      </c>
      <c r="H11" s="13">
        <v>0</v>
      </c>
      <c r="I11" s="13">
        <v>0</v>
      </c>
      <c r="J11" s="13">
        <v>0</v>
      </c>
      <c r="K11" s="13">
        <v>0</v>
      </c>
      <c r="L11" s="13"/>
    </row>
    <row r="12" spans="2:12">
      <c r="B12" s="12" t="s">
        <v>30</v>
      </c>
      <c r="C12" s="13" t="s">
        <v>186</v>
      </c>
      <c r="D12" s="13">
        <f>SUM(E12:K12)</f>
        <v>91</v>
      </c>
      <c r="E12" s="13">
        <v>10</v>
      </c>
      <c r="F12" s="13">
        <v>30</v>
      </c>
      <c r="G12" s="13">
        <v>12</v>
      </c>
      <c r="H12" s="13">
        <v>24</v>
      </c>
      <c r="I12" s="13">
        <v>12</v>
      </c>
      <c r="J12" s="13">
        <v>3</v>
      </c>
      <c r="K12" s="13">
        <v>0</v>
      </c>
      <c r="L12" s="13"/>
    </row>
    <row r="14" spans="2:2">
      <c r="B14" s="3" t="s">
        <v>189</v>
      </c>
    </row>
    <row r="16" s="2" customFormat="1" ht="15" customHeight="1" spans="2:12">
      <c r="B16" s="5" t="s">
        <v>168</v>
      </c>
      <c r="C16" s="6">
        <v>42370</v>
      </c>
      <c r="D16" s="7" t="s">
        <v>169</v>
      </c>
      <c r="E16" s="6">
        <v>42400</v>
      </c>
      <c r="F16" s="8" t="s">
        <v>170</v>
      </c>
      <c r="G16" s="9"/>
      <c r="H16" s="10" t="s">
        <v>171</v>
      </c>
      <c r="I16" s="9" t="s">
        <v>172</v>
      </c>
      <c r="J16" s="9"/>
      <c r="K16" s="14" t="s">
        <v>173</v>
      </c>
      <c r="L16" s="15"/>
    </row>
    <row r="18" spans="2:12">
      <c r="B18" s="11" t="s">
        <v>174</v>
      </c>
      <c r="C18" s="11" t="s">
        <v>175</v>
      </c>
      <c r="D18" s="11" t="s">
        <v>176</v>
      </c>
      <c r="E18" s="11" t="s">
        <v>190</v>
      </c>
      <c r="F18" s="11" t="s">
        <v>191</v>
      </c>
      <c r="G18" s="11" t="s">
        <v>192</v>
      </c>
      <c r="H18" s="11" t="s">
        <v>193</v>
      </c>
      <c r="I18" s="11" t="s">
        <v>194</v>
      </c>
      <c r="J18" s="11" t="s">
        <v>195</v>
      </c>
      <c r="K18" s="11" t="s">
        <v>196</v>
      </c>
      <c r="L18" s="11" t="s">
        <v>184</v>
      </c>
    </row>
    <row r="19" spans="2:12">
      <c r="B19" s="12" t="s">
        <v>185</v>
      </c>
      <c r="C19" s="13" t="s">
        <v>186</v>
      </c>
      <c r="D19" s="13">
        <f>SUM(E19:K19)</f>
        <v>4</v>
      </c>
      <c r="E19" s="13">
        <v>3</v>
      </c>
      <c r="F19" s="13">
        <v>0</v>
      </c>
      <c r="G19" s="13">
        <v>1</v>
      </c>
      <c r="H19" s="13">
        <v>0</v>
      </c>
      <c r="I19" s="13">
        <v>0</v>
      </c>
      <c r="J19" s="13">
        <v>0</v>
      </c>
      <c r="K19" s="13">
        <v>0</v>
      </c>
      <c r="L19" s="13"/>
    </row>
    <row r="20" spans="2:12">
      <c r="B20" s="12" t="s">
        <v>187</v>
      </c>
      <c r="C20" s="13" t="s">
        <v>186</v>
      </c>
      <c r="D20" s="13">
        <f>SUM(E20:K20)</f>
        <v>7</v>
      </c>
      <c r="E20" s="13">
        <v>1</v>
      </c>
      <c r="F20" s="13">
        <v>2</v>
      </c>
      <c r="G20" s="13">
        <v>1</v>
      </c>
      <c r="H20" s="13">
        <v>1</v>
      </c>
      <c r="I20" s="13">
        <v>1</v>
      </c>
      <c r="J20" s="13">
        <v>1</v>
      </c>
      <c r="K20" s="13">
        <v>0</v>
      </c>
      <c r="L20" s="13"/>
    </row>
    <row r="21" spans="2:12">
      <c r="B21" s="12" t="s">
        <v>188</v>
      </c>
      <c r="C21" s="13" t="s">
        <v>186</v>
      </c>
      <c r="D21" s="13">
        <f>SUM(E21:K21)</f>
        <v>0</v>
      </c>
      <c r="E21" s="13">
        <v>0</v>
      </c>
      <c r="F21" s="13">
        <v>0</v>
      </c>
      <c r="G21" s="13">
        <v>0</v>
      </c>
      <c r="H21" s="13">
        <v>0</v>
      </c>
      <c r="I21" s="13">
        <v>0</v>
      </c>
      <c r="J21" s="13">
        <v>0</v>
      </c>
      <c r="K21" s="13">
        <v>0</v>
      </c>
      <c r="L21" s="13"/>
    </row>
    <row r="22" spans="2:12">
      <c r="B22" s="12" t="s">
        <v>30</v>
      </c>
      <c r="C22" s="13" t="s">
        <v>186</v>
      </c>
      <c r="D22" s="13">
        <f>SUM(E22:K22)</f>
        <v>21</v>
      </c>
      <c r="E22" s="13">
        <v>5</v>
      </c>
      <c r="F22" s="13">
        <v>3</v>
      </c>
      <c r="G22" s="13">
        <v>4</v>
      </c>
      <c r="H22" s="13">
        <v>9</v>
      </c>
      <c r="I22" s="13">
        <v>0</v>
      </c>
      <c r="J22" s="13">
        <v>0</v>
      </c>
      <c r="K22" s="13">
        <v>0</v>
      </c>
      <c r="L22" s="13"/>
    </row>
    <row r="24" spans="2:2">
      <c r="B24" s="3" t="s">
        <v>197</v>
      </c>
    </row>
    <row r="26" s="2" customFormat="1" ht="15" customHeight="1" spans="2:12">
      <c r="B26" s="5" t="s">
        <v>168</v>
      </c>
      <c r="C26" s="6">
        <v>42370</v>
      </c>
      <c r="D26" s="7" t="s">
        <v>169</v>
      </c>
      <c r="E26" s="6">
        <v>42400</v>
      </c>
      <c r="F26" s="8" t="s">
        <v>170</v>
      </c>
      <c r="G26" s="9"/>
      <c r="H26" s="10" t="s">
        <v>171</v>
      </c>
      <c r="I26" s="9" t="s">
        <v>172</v>
      </c>
      <c r="J26" s="9"/>
      <c r="K26" s="14" t="s">
        <v>198</v>
      </c>
      <c r="L26" s="15"/>
    </row>
    <row r="28" spans="2:7">
      <c r="B28" s="11" t="s">
        <v>174</v>
      </c>
      <c r="C28" s="11" t="s">
        <v>175</v>
      </c>
      <c r="D28" s="11" t="s">
        <v>176</v>
      </c>
      <c r="E28" s="11" t="s">
        <v>199</v>
      </c>
      <c r="F28" s="11" t="s">
        <v>200</v>
      </c>
      <c r="G28" s="11" t="s">
        <v>201</v>
      </c>
    </row>
    <row r="29" spans="2:7">
      <c r="B29" s="12" t="s">
        <v>185</v>
      </c>
      <c r="C29" s="13" t="s">
        <v>186</v>
      </c>
      <c r="D29" s="13">
        <f>E29+G29</f>
        <v>4</v>
      </c>
      <c r="E29" s="13">
        <v>3</v>
      </c>
      <c r="F29" s="13">
        <v>0</v>
      </c>
      <c r="G29" s="13">
        <v>1</v>
      </c>
    </row>
    <row r="30" spans="2:7">
      <c r="B30" s="12" t="s">
        <v>187</v>
      </c>
      <c r="C30" s="13" t="s">
        <v>186</v>
      </c>
      <c r="D30" s="13">
        <f>E30+G30</f>
        <v>3</v>
      </c>
      <c r="E30" s="13">
        <v>2</v>
      </c>
      <c r="F30" s="13">
        <v>2</v>
      </c>
      <c r="G30" s="13">
        <v>1</v>
      </c>
    </row>
    <row r="31" spans="2:7">
      <c r="B31" s="12" t="s">
        <v>188</v>
      </c>
      <c r="C31" s="13" t="s">
        <v>186</v>
      </c>
      <c r="D31" s="13">
        <f>E31+G31</f>
        <v>1</v>
      </c>
      <c r="E31" s="13">
        <v>1</v>
      </c>
      <c r="F31" s="13">
        <v>1</v>
      </c>
      <c r="G31" s="13">
        <v>0</v>
      </c>
    </row>
    <row r="32" spans="2:7">
      <c r="B32" s="12" t="s">
        <v>30</v>
      </c>
      <c r="C32" s="13" t="s">
        <v>186</v>
      </c>
      <c r="D32" s="13">
        <f>E32+G32</f>
        <v>9</v>
      </c>
      <c r="E32" s="13">
        <v>5</v>
      </c>
      <c r="F32" s="13">
        <v>3</v>
      </c>
      <c r="G32" s="13">
        <v>4</v>
      </c>
    </row>
    <row r="34" spans="2:2">
      <c r="B34" s="3" t="s">
        <v>202</v>
      </c>
    </row>
    <row r="36" s="2" customFormat="1" ht="15" customHeight="1" spans="2:12">
      <c r="B36" s="5" t="s">
        <v>168</v>
      </c>
      <c r="C36" s="6">
        <v>42370</v>
      </c>
      <c r="D36" s="7" t="s">
        <v>169</v>
      </c>
      <c r="E36" s="6">
        <v>42400</v>
      </c>
      <c r="F36" s="8" t="s">
        <v>170</v>
      </c>
      <c r="G36" s="9"/>
      <c r="H36" s="10" t="s">
        <v>171</v>
      </c>
      <c r="I36" s="9" t="s">
        <v>172</v>
      </c>
      <c r="J36" s="9"/>
      <c r="K36" s="14" t="s">
        <v>203</v>
      </c>
      <c r="L36" s="15"/>
    </row>
    <row r="38" spans="2:11">
      <c r="B38" s="11" t="s">
        <v>175</v>
      </c>
      <c r="C38" s="11" t="s">
        <v>176</v>
      </c>
      <c r="D38" s="11" t="s">
        <v>177</v>
      </c>
      <c r="E38" s="11" t="s">
        <v>178</v>
      </c>
      <c r="F38" s="11" t="s">
        <v>179</v>
      </c>
      <c r="G38" s="11" t="s">
        <v>180</v>
      </c>
      <c r="H38" s="11" t="s">
        <v>181</v>
      </c>
      <c r="I38" s="11" t="s">
        <v>182</v>
      </c>
      <c r="J38" s="11" t="s">
        <v>183</v>
      </c>
      <c r="K38" s="11" t="s">
        <v>184</v>
      </c>
    </row>
    <row r="39" spans="2:11">
      <c r="B39" s="13" t="s">
        <v>204</v>
      </c>
      <c r="C39" s="13">
        <f>SUM(D39:J39)</f>
        <v>8</v>
      </c>
      <c r="D39" s="13">
        <v>1</v>
      </c>
      <c r="E39" s="13">
        <v>5</v>
      </c>
      <c r="F39" s="13">
        <v>0</v>
      </c>
      <c r="G39" s="13">
        <v>0</v>
      </c>
      <c r="H39" s="13">
        <v>0</v>
      </c>
      <c r="I39" s="13">
        <v>2</v>
      </c>
      <c r="J39" s="13">
        <v>0</v>
      </c>
      <c r="K39" s="13"/>
    </row>
    <row r="40" spans="2:11">
      <c r="B40" s="13" t="s">
        <v>205</v>
      </c>
      <c r="C40" s="13">
        <f>SUM(D40:J40)</f>
        <v>5</v>
      </c>
      <c r="D40" s="13">
        <v>0</v>
      </c>
      <c r="E40" s="13">
        <v>3</v>
      </c>
      <c r="F40" s="13">
        <v>1</v>
      </c>
      <c r="G40" s="13">
        <v>0</v>
      </c>
      <c r="H40" s="13">
        <v>1</v>
      </c>
      <c r="I40" s="13">
        <v>0</v>
      </c>
      <c r="J40" s="13">
        <v>0</v>
      </c>
      <c r="K40" s="13"/>
    </row>
    <row r="41" spans="2:11">
      <c r="B41" s="13" t="s">
        <v>186</v>
      </c>
      <c r="C41" s="13">
        <f>SUM(D41:J41)</f>
        <v>1</v>
      </c>
      <c r="D41" s="13">
        <v>1</v>
      </c>
      <c r="E41" s="13">
        <v>0</v>
      </c>
      <c r="F41" s="13">
        <v>0</v>
      </c>
      <c r="G41" s="13">
        <v>0</v>
      </c>
      <c r="H41" s="13">
        <v>0</v>
      </c>
      <c r="I41" s="13">
        <v>0</v>
      </c>
      <c r="J41" s="13">
        <v>0</v>
      </c>
      <c r="K41" s="13"/>
    </row>
    <row r="42" spans="2:11">
      <c r="B42" s="13" t="s">
        <v>206</v>
      </c>
      <c r="C42" s="13">
        <f>SUM(D42:J42)</f>
        <v>91</v>
      </c>
      <c r="D42" s="13">
        <v>10</v>
      </c>
      <c r="E42" s="13">
        <v>30</v>
      </c>
      <c r="F42" s="13">
        <v>12</v>
      </c>
      <c r="G42" s="13">
        <v>24</v>
      </c>
      <c r="H42" s="13">
        <v>12</v>
      </c>
      <c r="I42" s="13">
        <v>3</v>
      </c>
      <c r="J42" s="13">
        <v>0</v>
      </c>
      <c r="K42" s="13"/>
    </row>
    <row r="43" spans="2:11">
      <c r="B43" s="13"/>
      <c r="C43" s="13"/>
      <c r="D43" s="13"/>
      <c r="E43" s="13"/>
      <c r="F43" s="13"/>
      <c r="G43" s="13"/>
      <c r="H43" s="13"/>
      <c r="I43" s="13"/>
      <c r="J43" s="13"/>
      <c r="K43" s="13"/>
    </row>
    <row r="44" spans="2:11">
      <c r="B44" s="3" t="s">
        <v>207</v>
      </c>
      <c r="C44" s="13"/>
      <c r="D44" s="13"/>
      <c r="E44" s="13"/>
      <c r="F44" s="13"/>
      <c r="G44" s="13"/>
      <c r="H44" s="13"/>
      <c r="I44" s="13"/>
      <c r="J44" s="13"/>
      <c r="K44" s="13"/>
    </row>
    <row r="46" spans="2:11">
      <c r="B46" s="11" t="s">
        <v>175</v>
      </c>
      <c r="C46" s="11" t="s">
        <v>176</v>
      </c>
      <c r="D46" s="11" t="s">
        <v>190</v>
      </c>
      <c r="E46" s="11" t="s">
        <v>191</v>
      </c>
      <c r="F46" s="11" t="s">
        <v>192</v>
      </c>
      <c r="G46" s="11" t="s">
        <v>193</v>
      </c>
      <c r="H46" s="11" t="s">
        <v>194</v>
      </c>
      <c r="I46" s="11" t="s">
        <v>195</v>
      </c>
      <c r="J46" s="11" t="s">
        <v>196</v>
      </c>
      <c r="K46" s="11" t="s">
        <v>184</v>
      </c>
    </row>
    <row r="47" spans="2:11">
      <c r="B47" s="13" t="s">
        <v>204</v>
      </c>
      <c r="C47" s="13">
        <f>SUM(D47:J47)</f>
        <v>4</v>
      </c>
      <c r="D47" s="13">
        <v>3</v>
      </c>
      <c r="E47" s="13">
        <v>0</v>
      </c>
      <c r="F47" s="13">
        <v>1</v>
      </c>
      <c r="G47" s="13">
        <v>0</v>
      </c>
      <c r="H47" s="13">
        <v>0</v>
      </c>
      <c r="I47" s="13">
        <v>0</v>
      </c>
      <c r="J47" s="13">
        <v>0</v>
      </c>
      <c r="K47" s="13"/>
    </row>
    <row r="48" spans="2:11">
      <c r="B48" s="13" t="s">
        <v>205</v>
      </c>
      <c r="C48" s="13">
        <f>SUM(D48:J48)</f>
        <v>7</v>
      </c>
      <c r="D48" s="13">
        <v>1</v>
      </c>
      <c r="E48" s="13">
        <v>2</v>
      </c>
      <c r="F48" s="13">
        <v>1</v>
      </c>
      <c r="G48" s="13">
        <v>1</v>
      </c>
      <c r="H48" s="13">
        <v>1</v>
      </c>
      <c r="I48" s="13">
        <v>1</v>
      </c>
      <c r="J48" s="13">
        <v>0</v>
      </c>
      <c r="K48" s="13"/>
    </row>
    <row r="49" spans="2:11">
      <c r="B49" s="13" t="s">
        <v>186</v>
      </c>
      <c r="C49" s="13">
        <f>SUM(D49:J49)</f>
        <v>0</v>
      </c>
      <c r="D49" s="13">
        <v>0</v>
      </c>
      <c r="E49" s="13">
        <v>0</v>
      </c>
      <c r="F49" s="13">
        <v>0</v>
      </c>
      <c r="G49" s="13">
        <v>0</v>
      </c>
      <c r="H49" s="13">
        <v>0</v>
      </c>
      <c r="I49" s="13">
        <v>0</v>
      </c>
      <c r="J49" s="13">
        <v>0</v>
      </c>
      <c r="K49" s="13"/>
    </row>
    <row r="50" spans="2:11">
      <c r="B50" s="13" t="s">
        <v>206</v>
      </c>
      <c r="C50" s="13">
        <f>SUM(D50:J50)</f>
        <v>21</v>
      </c>
      <c r="D50" s="13">
        <v>5</v>
      </c>
      <c r="E50" s="13">
        <v>3</v>
      </c>
      <c r="F50" s="13">
        <v>4</v>
      </c>
      <c r="G50" s="13">
        <v>9</v>
      </c>
      <c r="H50" s="13">
        <v>0</v>
      </c>
      <c r="I50" s="13">
        <v>0</v>
      </c>
      <c r="J50" s="13">
        <v>0</v>
      </c>
      <c r="K50" s="13"/>
    </row>
    <row r="52" spans="2:2">
      <c r="B52" s="3" t="s">
        <v>208</v>
      </c>
    </row>
    <row r="54" s="2" customFormat="1" ht="15" customHeight="1" spans="2:12">
      <c r="B54" s="5" t="s">
        <v>168</v>
      </c>
      <c r="C54" s="6">
        <v>42370</v>
      </c>
      <c r="D54" s="7" t="s">
        <v>169</v>
      </c>
      <c r="E54" s="6">
        <v>42400</v>
      </c>
      <c r="F54" s="8" t="s">
        <v>170</v>
      </c>
      <c r="G54" s="9"/>
      <c r="H54" s="10" t="s">
        <v>171</v>
      </c>
      <c r="I54" s="9" t="s">
        <v>172</v>
      </c>
      <c r="J54" s="9"/>
      <c r="K54" s="14" t="s">
        <v>209</v>
      </c>
      <c r="L54" s="15"/>
    </row>
    <row r="56" spans="2:6">
      <c r="B56" s="11" t="s">
        <v>175</v>
      </c>
      <c r="C56" s="11" t="s">
        <v>176</v>
      </c>
      <c r="D56" s="11" t="s">
        <v>199</v>
      </c>
      <c r="E56" s="11" t="s">
        <v>200</v>
      </c>
      <c r="F56" s="11" t="s">
        <v>201</v>
      </c>
    </row>
    <row r="57" spans="2:6">
      <c r="B57" s="13" t="s">
        <v>204</v>
      </c>
      <c r="C57" s="13">
        <f>D57+F57</f>
        <v>4</v>
      </c>
      <c r="D57" s="13">
        <v>3</v>
      </c>
      <c r="E57" s="13">
        <v>0</v>
      </c>
      <c r="F57" s="13">
        <v>1</v>
      </c>
    </row>
    <row r="58" spans="2:6">
      <c r="B58" s="13" t="s">
        <v>205</v>
      </c>
      <c r="C58" s="13">
        <f>D58+F58</f>
        <v>3</v>
      </c>
      <c r="D58" s="13">
        <v>2</v>
      </c>
      <c r="E58" s="13">
        <v>2</v>
      </c>
      <c r="F58" s="13">
        <v>1</v>
      </c>
    </row>
    <row r="59" spans="2:6">
      <c r="B59" s="13" t="s">
        <v>186</v>
      </c>
      <c r="C59" s="13">
        <f>D59+F59</f>
        <v>1</v>
      </c>
      <c r="D59" s="13">
        <v>1</v>
      </c>
      <c r="E59" s="13">
        <v>1</v>
      </c>
      <c r="F59" s="13">
        <v>0</v>
      </c>
    </row>
    <row r="60" spans="2:6">
      <c r="B60" s="13" t="s">
        <v>206</v>
      </c>
      <c r="C60" s="13">
        <f>D60+F60</f>
        <v>9</v>
      </c>
      <c r="D60" s="13">
        <v>5</v>
      </c>
      <c r="E60" s="13">
        <v>3</v>
      </c>
      <c r="F60" s="13">
        <v>4</v>
      </c>
    </row>
  </sheetData>
  <mergeCells count="15">
    <mergeCell ref="F6:G6"/>
    <mergeCell ref="I6:J6"/>
    <mergeCell ref="K6:L6"/>
    <mergeCell ref="F16:G16"/>
    <mergeCell ref="I16:J16"/>
    <mergeCell ref="K16:L16"/>
    <mergeCell ref="F26:G26"/>
    <mergeCell ref="I26:J26"/>
    <mergeCell ref="K26:L26"/>
    <mergeCell ref="F36:G36"/>
    <mergeCell ref="I36:J36"/>
    <mergeCell ref="K36:L36"/>
    <mergeCell ref="F54:G54"/>
    <mergeCell ref="I54:J54"/>
    <mergeCell ref="K54:L54"/>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Company>Office Depot, Inc.</Company>
  <Application>Microsoft Excel</Application>
  <HeadingPairs>
    <vt:vector size="2" baseType="variant">
      <vt:variant>
        <vt:lpstr>工作表</vt:lpstr>
      </vt:variant>
      <vt:variant>
        <vt:i4>10</vt:i4>
      </vt:variant>
    </vt:vector>
  </HeadingPairs>
  <TitlesOfParts>
    <vt:vector size="10" baseType="lpstr">
      <vt:lpstr>Index</vt:lpstr>
      <vt:lpstr>Discrepancy flow</vt:lpstr>
      <vt:lpstr>Stock planner report</vt:lpstr>
      <vt:lpstr>Stock planner on holiday</vt:lpstr>
      <vt:lpstr>Mass Penalty status change</vt:lpstr>
      <vt:lpstr>Auto email PO remnider</vt:lpstr>
      <vt:lpstr>Unexpected delivery to planner</vt:lpstr>
      <vt:lpstr>4a Description</vt:lpstr>
      <vt:lpstr>4b Search Criteria</vt:lpstr>
      <vt:lpstr>4c Inv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Anthony-Hardman</dc:creator>
  <cp:lastModifiedBy>User</cp:lastModifiedBy>
  <dcterms:created xsi:type="dcterms:W3CDTF">2016-06-09T12:45:00Z</dcterms:created>
  <cp:lastPrinted>2016-06-28T15:12:00Z</cp:lastPrinted>
  <dcterms:modified xsi:type="dcterms:W3CDTF">2018-07-27T05:58:02Z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1033-10.2.0.6020</vt:lpwstr>
  </property>
</Properties>
</file>